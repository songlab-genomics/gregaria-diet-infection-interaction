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5cbc08189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e12be6edb6477f"/>
    <x:sheet xmlns:r="http://schemas.openxmlformats.org/officeDocument/2006/relationships" name="Master Comparison" sheetId="2" r:id="R9b9ea7ecb78144a8"/>
    <x:sheet xmlns:r="http://schemas.openxmlformats.org/officeDocument/2006/relationships" name="Colleague 115" sheetId="3" r:id="R50712bbd51c9445f"/>
    <x:sheet xmlns:r="http://schemas.openxmlformats.org/officeDocument/2006/relationships" name="Volcano 402" sheetId="4" r:id="Rbbc4775433e34d8f"/>
    <x:sheet xmlns:r="http://schemas.openxmlformats.org/officeDocument/2006/relationships" name="Heatmap 169" sheetId="5" r:id="Redeb5d8946fe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E+00"/>
    <x:numFmt numFmtId="202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8"/>
      <x:color rgb="FFFFFFFF"/>
      <x:name val="Carlito"/>
    </x:font>
    <x:font>
      <x:i/>
      <x:sz val="11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A6F6B"/>
      </x:patternFill>
    </x:fill>
    <x:fill>
      <x:patternFill patternType="solid">
        <x:fgColor rgb="FF17324D"/>
      </x:patternFill>
    </x:fill>
    <x:fill>
      <x:patternFill patternType="solid">
        <x:fgColor rgb="FFDCEBE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3D9DE"/>
      </x:left>
      <x:right style="thin">
        <x:color rgb="FFD3D9DE"/>
      </x:right>
      <x:top style="thin">
        <x:color rgb="FFD3D9DE"/>
      </x:top>
      <x:bottom style="thin">
        <x:color rgb="FFD3D9DE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185C37"/>
      </x:font>
      <x:fill>
        <x:patternFill patternType="solid">
          <x:bgColor rgb="FFDDEEDB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8E0F2"/>
        </x:patternFill>
      </x:fill>
    </x:dxf>
    <x:dxf>
      <x:fill>
        <x:patternFill patternType="solid">
          <x:bgColor rgb="FFF7D9D6"/>
        </x:patternFill>
      </x:fill>
    </x:dxf>
    <x:dxf>
      <x:font>
        <x:b/>
        <x:color rgb="FF185C37"/>
      </x:font>
      <x:fill>
        <x:patternFill patternType="solid">
          <x:bgColor rgb="FFDDEEDB"/>
        </x:patternFill>
      </x:fill>
    </x:dxf>
    <x:dxf>
      <x:font>
        <x:color rgb="FF6B4F00"/>
      </x:font>
      <x:fill>
        <x:patternFill patternType="solid">
          <x:bgColor rgb="FFFFF0C2"/>
        </x:patternFill>
      </x:fill>
    </x:dxf>
    <x:dxf>
      <x:fill>
        <x:patternFill patternType="solid">
          <x:bgColor rgb="FFF7D9D6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8E0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25474bb1b4d4b" /><Relationship Type="http://schemas.openxmlformats.org/officeDocument/2006/relationships/theme" Target="/xl/theme/theme1.xml" Id="Re345d28e216e4d4d" /><Relationship Type="http://schemas.microsoft.com/office/2022/11/relationships/FeaturePropertyBag" Target="/xl/featurePropertyBag/featurePropertyBag.xml" Id="R092fdca477d54030" /><Relationship Type="http://schemas.openxmlformats.org/officeDocument/2006/relationships/sharedStrings" Target="/xl/sharedStrings.xml" Id="Rfe68ba374cce4c8e" /><Relationship Type="http://schemas.openxmlformats.org/officeDocument/2006/relationships/worksheet" Target="/xl/worksheets/sheet1.xml" Id="R6fe12be6edb6477f" /><Relationship Type="http://schemas.openxmlformats.org/officeDocument/2006/relationships/worksheet" Target="/xl/worksheets/sheet2.xml" Id="R9b9ea7ecb78144a8" /><Relationship Type="http://schemas.openxmlformats.org/officeDocument/2006/relationships/worksheet" Target="/xl/worksheets/sheet3.xml" Id="R50712bbd51c9445f" /><Relationship Type="http://schemas.openxmlformats.org/officeDocument/2006/relationships/worksheet" Target="/xl/worksheets/sheet4.xml" Id="Rbbc4775433e34d8f" /><Relationship Type="http://schemas.openxmlformats.org/officeDocument/2006/relationships/worksheet" Target="/xl/worksheets/sheet5.xml" Id="Redeb5d8946fe4a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4" name="CandidateComparisonTable" displayName="CandidateComparisonTable" ref="A1:N563" headerRowCount="1" totalsRowCount="0" totalsRowShown="0">
  <x:autoFilter ref="A1:N563"/>
  <x:tableColumns count="14">
    <x:tableColumn id="1" name="Gene ID"/>
    <x:tableColumn id="2" name="Description"/>
    <x:tableColumn id="3" name="Colleague 115"/>
    <x:tableColumn id="4" name="Volcano 402"/>
    <x:tableColumn id="5" name="Heatmap 169"/>
    <x:tableColumn id="6" name="Sets present"/>
    <x:tableColumn id="7" name="Overlap class"/>
    <x:tableColumn id="8" name="Colleague umbrella"/>
    <x:tableColumn id="9" name="Colleague sub-category"/>
    <x:tableColumn id="10" name="Volcano theme"/>
    <x:tableColumn id="11" name="Volcano significant contrasts"/>
    <x:tableColumn id="12" name="Heatmap selection"/>
    <x:tableColumn id="13" name="Heatmap theme"/>
    <x:tableColumn id="14" name="Heatmap DEG 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lleagueCandidateTable" displayName="ColleagueCandidateTable" ref="A1:G116" headerRowCount="1" totalsRowCount="0" totalsRowShown="0">
  <x:autoFilter ref="A1:G116"/>
  <x:tableColumns count="7">
    <x:tableColumn id="1" name="Gene ID"/>
    <x:tableColumn id="2" name="Description"/>
    <x:tableColumn id="3" name="Umbrella category"/>
    <x:tableColumn id="4" name="Sub-category"/>
    <x:tableColumn id="5" name="In Volcano 402"/>
    <x:tableColumn id="6" name="In Heatmap 169"/>
    <x:tableColumn id="7" name="Comparis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VolcanoCandidateTable" displayName="VolcanoCandidateTable" ref="A1:I403" headerRowCount="1" totalsRowCount="0" totalsRowShown="0">
  <x:autoFilter ref="A1:I403"/>
  <x:tableColumns count="9">
    <x:tableColumn id="1" name="Gene ID"/>
    <x:tableColumn id="2" name="Description"/>
    <x:tableColumn id="3" name="Gene biotype"/>
    <x:tableColumn id="4" name="Physiological theme"/>
    <x:tableColumn id="5" name="Significant contrasts"/>
    <x:tableColumn id="6" name="Maximum |log2FC|"/>
    <x:tableColumn id="7" name="Minimum adjusted P"/>
    <x:tableColumn id="8" name="Maximum base mean"/>
    <x:tableColumn id="9" name="Labeled in Figure S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HeatmapCandidateTable" displayName="HeatmapCandidateTable" ref="A1:J170" headerRowCount="1" totalsRowCount="0" totalsRowShown="0">
  <x:autoFilter ref="A1:J170"/>
  <x:tableColumns count="10">
    <x:tableColumn id="1" name="Gene ID"/>
    <x:tableColumn id="2" name="Description"/>
    <x:tableColumn id="3" name="Preferred name"/>
    <x:tableColumn id="4" name="Heatmap selection"/>
    <x:tableColumn id="5" name="Functional theme"/>
    <x:tableColumn id="6" name="DEG class"/>
    <x:tableColumn id="7" name="DEG diets"/>
    <x:tableColumn id="8" name="Direction summary"/>
    <x:tableColumn id="9" name="Minimum adjusted P"/>
    <x:tableColumn id="10" name="Maximum |log2FC|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ec4006766d44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fc9c8ac34148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f439e579c34d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7231d627534a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" hidden="0" customWidth="1"/>
    <x:col min="4" max="4" width="28" hidden="0" customWidth="1"/>
    <x:col min="5" max="5" width="16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2" customHeight="1">
      <x:c r="A1" s="22" t="str">
        <x:v>Physiological candidate gene-set comparison</x:v>
      </x:c>
      <x:c r="B1" s="22"/>
      <x:c r="C1" s="22"/>
      <x:c r="D1" s="22"/>
      <x:c r="E1" s="22"/>
      <x:c r="F1" s="22"/>
      <x:c r="G1" s="22"/>
      <x:c r="H1" s="22"/>
    </x:row>
    <x:row r="2" ht="34" customHeight="1">
      <x:c r="A2" s="25" t="str">
        <x:v>The workbook compares the 115 colleague-curated genes, the 402 annotation-derived Figure S3 candidates, and the 169 genes displayed in the curated heatmap.</x:v>
      </x:c>
      <x:c r="B2" s="25"/>
      <x:c r="C2" s="25"/>
      <x:c r="D2" s="25"/>
      <x:c r="E2" s="25"/>
      <x:c r="F2" s="25"/>
      <x:c r="G2" s="25"/>
      <x:c r="H2" s="25"/>
    </x:row>
    <x:row r="4" ht="34" customHeight="1">
      <x:c r="A4" s="6" t="str">
        <x:v>Set</x:v>
      </x:c>
      <x:c r="B4" s="6" t="str">
        <x:v>Unique genes</x:v>
      </x:c>
      <x:c r="D4" s="6" t="str">
        <x:v>Comparison</x:v>
      </x:c>
      <x:c r="E4" s="6" t="str">
        <x:v>Shared genes</x:v>
      </x:c>
      <x:c r="F4" s="6" t="str">
        <x:v>Interpretation</x:v>
      </x:c>
    </x:row>
    <x:row r="5">
      <x:c r="A5" s="10" t="str">
        <x:v>Colleague-curated list</x:v>
      </x:c>
      <x:c r="B5" s="10" t="n">
        <x:f>COUNTIF('Master Comparison'!$C$2:$C$563,"Yes")</x:f>
        <x:v>115</x:v>
      </x:c>
      <x:c r="D5" s="10" t="str">
        <x:v>Colleague + Figure S3</x:v>
      </x:c>
      <x:c r="E5" s="10" t="n">
        <x:f>COUNTIFS('Master Comparison'!$C$2:$C$563,"Yes",'Master Comparison'!$D$2:$D$563,"Yes")</x:f>
        <x:v>63</x:v>
      </x:c>
      <x:c r="F5" s="10" t="str">
        <x:v>Curated genes recovered by the annotation-derived volcano rules</x:v>
      </x:c>
    </x:row>
    <x:row r="6">
      <x:c r="A6" s="10" t="str">
        <x:v>Annotation-derived Figure S3</x:v>
      </x:c>
      <x:c r="B6" s="10" t="n">
        <x:f>COUNTIF('Master Comparison'!$D$2:$D$563,"Yes")</x:f>
        <x:v>402</x:v>
      </x:c>
      <x:c r="D6" s="10" t="str">
        <x:v>Colleague + heatmap</x:v>
      </x:c>
      <x:c r="E6" s="10" t="n">
        <x:f>COUNTIFS('Master Comparison'!$C$2:$C$563,"Yes",'Master Comparison'!$E$2:$E$563,"Yes")</x:f>
        <x:v>19</x:v>
      </x:c>
      <x:c r="F6" s="10" t="str">
        <x:v>Curated genes selected into the displayed heatmap</x:v>
      </x:c>
    </x:row>
    <x:row r="7">
      <x:c r="A7" s="10" t="str">
        <x:v>Curated heatmap</x:v>
      </x:c>
      <x:c r="B7" s="10" t="n">
        <x:f>COUNTIF('Master Comparison'!$E$2:$E$563,"Yes")</x:f>
        <x:v>169</x:v>
      </x:c>
      <x:c r="D7" s="10" t="str">
        <x:v>Figure S3 + heatmap</x:v>
      </x:c>
      <x:c r="E7" s="10" t="n">
        <x:f>COUNTIFS('Master Comparison'!$D$2:$D$563,"Yes",'Master Comparison'!$E$2:$E$563,"Yes")</x:f>
        <x:v>58</x:v>
      </x:c>
      <x:c r="F7" s="10" t="str">
        <x:v>Annotation-derived candidates selected into the displayed heatmap</x:v>
      </x:c>
    </x:row>
    <x:row r="8">
      <x:c r="D8" s="10" t="str">
        <x:v>All three sets</x:v>
      </x:c>
      <x:c r="E8" s="10" t="n">
        <x:f>COUNTIFS('Master Comparison'!$C$2:$C$563,"Yes",'Master Comparison'!$D$2:$D$563,"Yes",'Master Comparison'!$E$2:$E$563,"Yes")</x:f>
        <x:v>16</x:v>
      </x:c>
      <x:c r="F8" s="10" t="str">
        <x:v>Genes supported by every selection strategy</x:v>
      </x:c>
    </x:row>
    <x:row r="10" ht="34" customHeight="1">
      <x:c r="A10" s="6" t="str">
        <x:v>Exclusive overlap class</x:v>
      </x:c>
      <x:c r="B10" s="6" t="str">
        <x:v>Genes</x:v>
      </x:c>
      <x:c r="D10" s="6" t="str">
        <x:v>How to use the audit</x:v>
      </x:c>
      <x:c r="E10" s="6"/>
      <x:c r="F10" s="6"/>
      <x:c r="G10" s="6"/>
      <x:c r="H10" s="6"/>
    </x:row>
    <x:row r="11" ht="24" customHeight="1">
      <x:c r="A11" s="10" t="str">
        <x:v>Colleague only</x:v>
      </x:c>
      <x:c r="B11" s="10" t="n">
        <x:f>COUNTIF('Master Comparison'!$G$2:$G$563,A11)</x:f>
        <x:v>49</x:v>
      </x:c>
      <x:c r="D11" s="10" t="str">
        <x:v>Open Master Comparison and filter the three Yes/No membership columns or the Overlap class column. Green rows occur in all three sets; gold rows occur in exactly two; red, blue, and lilac rows are unique to the colleague list, annotation-derived Figure S3 list, and displayed heatmap, respectively. These colors are Excel conditional-format rules, so they remain accurate after filtering.</x:v>
      </x:c>
      <x:c r="E11" s="10"/>
      <x:c r="F11" s="10"/>
      <x:c r="G11" s="10"/>
      <x:c r="H11" s="10"/>
    </x:row>
    <x:row r="12" ht="24" customHeight="1">
      <x:c r="A12" s="10" t="str">
        <x:v>Volcano only</x:v>
      </x:c>
      <x:c r="B12" s="10" t="n">
        <x:f>COUNTIF('Master Comparison'!$G$2:$G$563,A12)</x:f>
        <x:v>297</x:v>
      </x:c>
      <x:c r="D12" s="10"/>
      <x:c r="E12" s="10"/>
      <x:c r="F12" s="10"/>
      <x:c r="G12" s="10"/>
      <x:c r="H12" s="10"/>
    </x:row>
    <x:row r="13" ht="24" customHeight="1">
      <x:c r="A13" s="10" t="str">
        <x:v>Heatmap only</x:v>
      </x:c>
      <x:c r="B13" s="10" t="n">
        <x:f>COUNTIF('Master Comparison'!$G$2:$G$563,A13)</x:f>
        <x:v>108</x:v>
      </x:c>
      <x:c r="D13" s="10"/>
      <x:c r="E13" s="10"/>
      <x:c r="F13" s="10"/>
      <x:c r="G13" s="10"/>
      <x:c r="H13" s="10"/>
    </x:row>
    <x:row r="14" ht="24" customHeight="1">
      <x:c r="A14" s="10" t="str">
        <x:v>Colleague + volcano</x:v>
      </x:c>
      <x:c r="B14" s="10" t="n">
        <x:f>COUNTIF('Master Comparison'!$G$2:$G$563,A14)</x:f>
        <x:v>47</x:v>
      </x:c>
      <x:c r="D14" s="10"/>
      <x:c r="E14" s="10"/>
      <x:c r="F14" s="10"/>
      <x:c r="G14" s="10"/>
      <x:c r="H14" s="10"/>
    </x:row>
    <x:row r="15" ht="24" customHeight="1">
      <x:c r="A15" s="10" t="str">
        <x:v>Colleague + heatmap</x:v>
      </x:c>
      <x:c r="B15" s="10" t="n">
        <x:f>COUNTIF('Master Comparison'!$G$2:$G$563,A15)</x:f>
        <x:v>3</x:v>
      </x:c>
      <x:c r="D15" s="10"/>
      <x:c r="E15" s="10"/>
      <x:c r="F15" s="10"/>
      <x:c r="G15" s="10"/>
      <x:c r="H15" s="10"/>
    </x:row>
    <x:row r="16">
      <x:c r="A16" s="10" t="str">
        <x:v>Volcano + heatmap</x:v>
      </x:c>
      <x:c r="B16" s="10" t="n">
        <x:f>COUNTIF('Master Comparison'!$G$2:$G$563,A16)</x:f>
        <x:v>42</x:v>
      </x:c>
    </x:row>
    <x:row r="17">
      <x:c r="A17" s="10" t="str">
        <x:v>All three</x:v>
      </x:c>
      <x:c r="B17" s="10" t="n">
        <x:f>COUNTIF('Master Comparison'!$G$2:$G$563,A17)</x:f>
        <x:v>16</x:v>
      </x:c>
    </x:row>
    <x:row r="19" ht="34" customHeight="1">
      <x:c r="A19" s="6" t="str">
        <x:v>Source definitions</x:v>
      </x:c>
      <x:c r="B19" s="6"/>
      <x:c r="C19" s="6"/>
      <x:c r="D19" s="6"/>
      <x:c r="E19" s="6"/>
      <x:c r="F19" s="6"/>
      <x:c r="G19" s="6"/>
      <x:c r="H19" s="6"/>
    </x:row>
    <x:row r="20" ht="58" customHeight="1">
      <x:c r="A20" s="10" t="str">
        <x:v>Colleague 115</x:v>
      </x:c>
      <x:c r="B20" s="10" t="str">
        <x:v>Unique Gene IDs from the Immune and Protein-Anabolism sheets of the supplied workbook.</x:v>
      </x:c>
      <x:c r="D20" s="10" t="str">
        <x:v>Colleague source</x:v>
      </x:c>
      <x:c r="E20" s="10" t="str">
        <x:v>/Users/maevatecher/Downloads/2026-08-09_Immune_Protein_Anabolism_DEGs_v24.xlsx</x:v>
      </x:c>
      <x:c r="F20" s="10"/>
      <x:c r="G20" s="10"/>
      <x:c r="H20" s="10"/>
    </x:row>
    <x:row r="21" ht="58" customHeight="1">
      <x:c r="A21" s="10" t="str">
        <x:v>Volcano 402</x:v>
      </x:c>
      <x:c r="B21" s="10" t="str">
        <x:v>Significant, annotation-derived physiological candidates shown by at least one Figure S3 contrast.</x:v>
      </x:c>
      <x:c r="D21" s="10" t="str">
        <x:v>Figure S3 source</x:v>
      </x:c>
      <x:c r="E21" s="10" t="str">
        <x:v>output/rmd_runs/publication-figures_20260811-121501/figureS3_annotation_derived_highlighted_DEGs.csv</x:v>
      </x:c>
      <x:c r="F21" s="10"/>
      <x:c r="G21" s="10"/>
      <x:c r="H21" s="10"/>
    </x:row>
    <x:row r="22" ht="58" customHeight="1">
      <x:c r="A22" s="10" t="str">
        <x:v>Heatmap 169</x:v>
      </x:c>
      <x:c r="B22" s="10" t="str">
        <x:v>Exact genes displayed in the curated infection-response heatmap, including strong DEGs and selected functional candidates.</x:v>
      </x:c>
      <x:c r="D22" s="10" t="str">
        <x:v>Heatmap source</x:v>
      </x:c>
      <x:c r="E22" s="10" t="str">
        <x:v>output/rmd_runs/main-chromosome-all-samples-infection-within-diet-deg_20260810-145640/curated_infection_deg_heatmap_genes.csv</x:v>
      </x:c>
      <x:c r="F22" s="10"/>
      <x:c r="G22" s="10"/>
      <x:c r="H22" s="10"/>
    </x:row>
  </x:sheetData>
  <x:mergeCells>
    <x:mergeCell ref="A1:H1"/>
    <x:mergeCell ref="A2:H2"/>
    <x:mergeCell ref="D10:H10"/>
    <x:mergeCell ref="D11:H15"/>
    <x:mergeCell ref="A19:H19"/>
    <x:mergeCell ref="B20:C20"/>
    <x:mergeCell ref="E20:H20"/>
    <x:mergeCell ref="B21:C21"/>
    <x:mergeCell ref="E21:H21"/>
    <x:mergeCell ref="B22:C22"/>
    <x:mergeCell ref="E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24" hidden="0" customWidth="1"/>
    <x:col min="8" max="8" width="35" hidden="0" customWidth="1"/>
    <x:col min="9" max="9" width="35" hidden="0" customWidth="1"/>
    <x:col min="10" max="10" width="35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</x:cols>
  <x:sheetData>
    <x:row r="1" ht="34" customHeight="1">
      <x:c r="A1" s="6" t="str">
        <x:v>Gene ID</x:v>
      </x:c>
      <x:c r="B1" s="6" t="str">
        <x:v>Description</x:v>
      </x:c>
      <x:c r="C1" s="6" t="str">
        <x:v>Colleague 115</x:v>
      </x:c>
      <x:c r="D1" s="6" t="str">
        <x:v>Volcano 402</x:v>
      </x:c>
      <x:c r="E1" s="6" t="str">
        <x:v>Heatmap 169</x:v>
      </x:c>
      <x:c r="F1" s="6" t="str">
        <x:v>Sets present</x:v>
      </x:c>
      <x:c r="G1" s="6" t="str">
        <x:v>Overlap class</x:v>
      </x:c>
      <x:c r="H1" s="6" t="str">
        <x:v>Colleague umbrella</x:v>
      </x:c>
      <x:c r="I1" s="6" t="str">
        <x:v>Colleague sub-category</x:v>
      </x:c>
      <x:c r="J1" s="6" t="str">
        <x:v>Volcano theme</x:v>
      </x:c>
      <x:c r="K1" s="6" t="str">
        <x:v>Volcano significant contrasts</x:v>
      </x:c>
      <x:c r="L1" s="6" t="str">
        <x:v>Heatmap selection</x:v>
      </x:c>
      <x:c r="M1" s="6" t="str">
        <x:v>Heatmap theme</x:v>
      </x:c>
      <x:c r="N1" s="6" t="str">
        <x:v>Heatmap DEG class</x:v>
      </x:c>
    </x:row>
    <x:row r="2">
      <x:c r="A2" s="10" t="str">
        <x:v>LOC126266641</x:v>
      </x:c>
      <x:c r="B2" s="10" t="str">
        <x:v>serine protease snake-like</x:v>
      </x:c>
      <x:c r="C2" s="19" t="str">
        <x:f>IF(COUNTIF('Colleague 115'!$A$2:$A$116,A2)&gt;0,"Yes","No")</x:f>
        <x:v>Yes</x:v>
      </x:c>
      <x:c r="D2" s="19" t="str">
        <x:f>IF(COUNTIF('Volcano 402'!$A$2:$A$403,A2)&gt;0,"Yes","No")</x:f>
        <x:v>No</x:v>
      </x:c>
      <x:c r="E2" s="19" t="str">
        <x:f>IF(COUNTIF('Heatmap 169'!$A$2:$A$170,A2)&gt;0,"Yes","No")</x:f>
        <x:v>No</x:v>
      </x:c>
      <x:c r="F2" s="19" t="n">
        <x:f>COUNTIF(C2:E2,"Yes")</x:f>
        <x:v>1</x:v>
      </x:c>
      <x:c r="G2" s="10" t="str">
        <x:f>IF(F2=3,"All three",IF(F2=2,IF(C2="No","Volcano + heatmap",IF(D2="No","Colleague + heatmap","Colleague + volcano")),IF(C2="Yes","Colleague only",IF(D2="Yes","Volcano only","Heatmap only"))))</x:f>
        <x:v>Colleague only</x:v>
      </x:c>
      <x:c r="H2" s="10" t="str">
        <x:v>Innate Immune Recognition &amp; Signaling</x:v>
      </x:c>
      <x:c r="I2" s="10" t="str">
        <x:v>Serine Protease Cascades</x:v>
      </x:c>
      <x:c r="J2" s="10" t="str"/>
      <x:c r="K2" s="10" t="str"/>
      <x:c r="L2" s="10" t="str"/>
      <x:c r="M2" s="10" t="str"/>
      <x:c r="N2" s="10" t="str"/>
    </x:row>
    <x:row r="3">
      <x:c r="A3" s="10" t="str">
        <x:v>LOC126266662</x:v>
      </x:c>
      <x:c r="B3" s="10" t="str">
        <x:v>heat shock protein 68-like</x:v>
      </x:c>
      <x:c r="C3" s="19" t="str">
        <x:f>IF(COUNTIF('Colleague 115'!$A$2:$A$116,A3)&gt;0,"Yes","No")</x:f>
        <x:v>No</x:v>
      </x:c>
      <x:c r="D3" s="19" t="str">
        <x:f>IF(COUNTIF('Volcano 402'!$A$2:$A$403,A3)&gt;0,"Yes","No")</x:f>
        <x:v>Yes</x:v>
      </x:c>
      <x:c r="E3" s="19" t="str">
        <x:f>IF(COUNTIF('Heatmap 169'!$A$2:$A$170,A3)&gt;0,"Yes","No")</x:f>
        <x:v>No</x:v>
      </x:c>
      <x:c r="F3" s="19" t="n">
        <x:f>COUNTIF(C3:E3,"Yes")</x:f>
        <x:v>1</x:v>
      </x:c>
      <x:c r="G3" s="10" t="str">
        <x:f>IF(F3=3,"All three",IF(F3=2,IF(C3="No","Volcano + heatmap",IF(D3="No","Colleague + heatmap","Colleague + volcano")),IF(C3="Yes","Colleague only",IF(D3="Yes","Volcano only","Heatmap only"))))</x:f>
        <x:v>Volcano only</x:v>
      </x:c>
      <x:c r="H3" s="10" t="str"/>
      <x:c r="I3" s="10" t="str"/>
      <x:c r="J3" s="10" t="str">
        <x:v>Detoxification / stress</x:v>
      </x:c>
      <x:c r="K3" s="10" t="str">
        <x:v>infection_average_all_diets; infection_diet50; infection_diet83</x:v>
      </x:c>
      <x:c r="L3" s="10" t="str"/>
      <x:c r="M3" s="10" t="str"/>
      <x:c r="N3" s="10" t="str"/>
    </x:row>
    <x:row r="4">
      <x:c r="A4" s="10" t="str">
        <x:v>LOC126266674</x:v>
      </x:c>
      <x:c r="B4" s="10" t="str">
        <x:v>activator of 90 kDa heat shock protein ATPase homolog 1-like</x:v>
      </x:c>
      <x:c r="C4" s="19" t="str">
        <x:f>IF(COUNTIF('Colleague 115'!$A$2:$A$116,A4)&gt;0,"Yes","No")</x:f>
        <x:v>No</x:v>
      </x:c>
      <x:c r="D4" s="19" t="str">
        <x:f>IF(COUNTIF('Volcano 402'!$A$2:$A$403,A4)&gt;0,"Yes","No")</x:f>
        <x:v>Yes</x:v>
      </x:c>
      <x:c r="E4" s="19" t="str">
        <x:f>IF(COUNTIF('Heatmap 169'!$A$2:$A$170,A4)&gt;0,"Yes","No")</x:f>
        <x:v>No</x:v>
      </x:c>
      <x:c r="F4" s="19" t="n">
        <x:f>COUNTIF(C4:E4,"Yes")</x:f>
        <x:v>1</x:v>
      </x:c>
      <x:c r="G4" s="10" t="str">
        <x:f>IF(F4=3,"All three",IF(F4=2,IF(C4="No","Volcano + heatmap",IF(D4="No","Colleague + heatmap","Colleague + volcano")),IF(C4="Yes","Colleague only",IF(D4="Yes","Volcano only","Heatmap only"))))</x:f>
        <x:v>Volcano only</x:v>
      </x:c>
      <x:c r="H4" s="10" t="str"/>
      <x:c r="I4" s="10" t="str"/>
      <x:c r="J4" s="10" t="str">
        <x:v>Detoxification / stress</x:v>
      </x:c>
      <x:c r="K4" s="10" t="str">
        <x:v>infection_diet50</x:v>
      </x:c>
      <x:c r="L4" s="10" t="str"/>
      <x:c r="M4" s="10" t="str"/>
      <x:c r="N4" s="10" t="str"/>
    </x:row>
    <x:row r="5">
      <x:c r="A5" s="10" t="str">
        <x:v>LOC126266685</x:v>
      </x:c>
      <x:c r="B5" s="10" t="str">
        <x:v>proton-coupled amino acid transporter 1-like</x:v>
      </x:c>
      <x:c r="C5" s="19" t="str">
        <x:f>IF(COUNTIF('Colleague 115'!$A$2:$A$116,A5)&gt;0,"Yes","No")</x:f>
        <x:v>Yes</x:v>
      </x:c>
      <x:c r="D5" s="19" t="str">
        <x:f>IF(COUNTIF('Volcano 402'!$A$2:$A$403,A5)&gt;0,"Yes","No")</x:f>
        <x:v>No</x:v>
      </x:c>
      <x:c r="E5" s="19" t="str">
        <x:f>IF(COUNTIF('Heatmap 169'!$A$2:$A$170,A5)&gt;0,"Yes","No")</x:f>
        <x:v>No</x:v>
      </x:c>
      <x:c r="F5" s="19" t="n">
        <x:f>COUNTIF(C5:E5,"Yes")</x:f>
        <x:v>1</x:v>
      </x:c>
      <x:c r="G5" s="10" t="str">
        <x:f>IF(F5=3,"All three",IF(F5=2,IF(C5="No","Volcano + heatmap",IF(D5="No","Colleague + heatmap","Colleague + volcano")),IF(C5="Yes","Colleague only",IF(D5="Yes","Volcano only","Heatmap only"))))</x:f>
        <x:v>Colleague only</x:v>
      </x:c>
      <x:c r="H5" s="10" t="str">
        <x:v>Nitrogen, Amino Acid Transport &amp; Metabolism</x:v>
      </x:c>
      <x:c r="I5" s="10" t="str">
        <x:v>Proton-Coupled &amp; Auxiliary Amino Acid Transporters</x:v>
      </x:c>
      <x:c r="J5" s="10" t="str"/>
      <x:c r="K5" s="10" t="str"/>
      <x:c r="L5" s="10" t="str"/>
      <x:c r="M5" s="10" t="str"/>
      <x:c r="N5" s="10" t="str"/>
    </x:row>
    <x:row r="6">
      <x:c r="A6" s="10" t="str">
        <x:v>LOC126266714</x:v>
      </x:c>
      <x:c r="B6" s="10" t="str">
        <x:v>uncharacterized LOC126266714</x:v>
      </x:c>
      <x:c r="C6" s="19" t="str">
        <x:f>IF(COUNTIF('Colleague 115'!$A$2:$A$116,A6)&gt;0,"Yes","No")</x:f>
        <x:v>No</x:v>
      </x:c>
      <x:c r="D6" s="19" t="str">
        <x:f>IF(COUNTIF('Volcano 402'!$A$2:$A$403,A6)&gt;0,"Yes","No")</x:f>
        <x:v>Yes</x:v>
      </x:c>
      <x:c r="E6" s="19" t="str">
        <x:f>IF(COUNTIF('Heatmap 169'!$A$2:$A$170,A6)&gt;0,"Yes","No")</x:f>
        <x:v>Yes</x:v>
      </x:c>
      <x:c r="F6" s="19" t="n">
        <x:f>COUNTIF(C6:E6,"Yes")</x:f>
        <x:v>2</x:v>
      </x:c>
      <x:c r="G6" s="10" t="str">
        <x:f>IF(F6=3,"All three",IF(F6=2,IF(C6="No","Volcano + heatmap",IF(D6="No","Colleague + heatmap","Colleague + volcano")),IF(C6="Yes","Colleague only",IF(D6="Yes","Volcano only","Heatmap only"))))</x:f>
        <x:v>Volcano + heatmap</x:v>
      </x:c>
      <x:c r="H6" s="10" t="str"/>
      <x:c r="I6" s="10" t="str"/>
      <x:c r="J6" s="10" t="str">
        <x:v>Detoxification / stress</x:v>
      </x:c>
      <x:c r="K6" s="10" t="str">
        <x:v>infection_average_all_diets; infection_diet50</x:v>
      </x:c>
      <x:c r="L6" s="10" t="str">
        <x:v>Functional candidate</x:v>
      </x:c>
      <x:c r="M6" s="10" t="str">
        <x:v>Detoxification/stress</x:v>
      </x:c>
      <x:c r="N6" s="10" t="str">
        <x:v>DEG</x:v>
      </x:c>
    </x:row>
    <x:row r="7">
      <x:c r="A7" s="10" t="str">
        <x:v>LOC126266725</x:v>
      </x:c>
      <x:c r="B7" s="10" t="str">
        <x:v>probable cytochrome P450 301a1, mitochondrial</x:v>
      </x:c>
      <x:c r="C7" s="19" t="str">
        <x:f>IF(COUNTIF('Colleague 115'!$A$2:$A$116,A7)&gt;0,"Yes","No")</x:f>
        <x:v>No</x:v>
      </x:c>
      <x:c r="D7" s="19" t="str">
        <x:f>IF(COUNTIF('Volcano 402'!$A$2:$A$403,A7)&gt;0,"Yes","No")</x:f>
        <x:v>Yes</x:v>
      </x:c>
      <x:c r="E7" s="19" t="str">
        <x:f>IF(COUNTIF('Heatmap 169'!$A$2:$A$170,A7)&gt;0,"Yes","No")</x:f>
        <x:v>No</x:v>
      </x:c>
      <x:c r="F7" s="19" t="n">
        <x:f>COUNTIF(C7:E7,"Yes")</x:f>
        <x:v>1</x:v>
      </x:c>
      <x:c r="G7" s="10" t="str">
        <x:f>IF(F7=3,"All three",IF(F7=2,IF(C7="No","Volcano + heatmap",IF(D7="No","Colleague + heatmap","Colleague + volcano")),IF(C7="Yes","Colleague only",IF(D7="Yes","Volcano only","Heatmap only"))))</x:f>
        <x:v>Volcano only</x:v>
      </x:c>
      <x:c r="H7" s="10" t="str"/>
      <x:c r="I7" s="10" t="str"/>
      <x:c r="J7" s="10" t="str">
        <x:v>Detoxification / stress</x:v>
      </x:c>
      <x:c r="K7" s="10" t="str">
        <x:v>infection_average_all_diets; infection_diet33</x:v>
      </x:c>
      <x:c r="L7" s="10" t="str"/>
      <x:c r="M7" s="10" t="str"/>
      <x:c r="N7" s="10" t="str"/>
    </x:row>
    <x:row r="8">
      <x:c r="A8" s="10" t="str">
        <x:v>LOC126266726</x:v>
      </x:c>
      <x:c r="B8" s="10" t="str">
        <x:v>Cytochrome P450</x:v>
      </x:c>
      <x:c r="C8" s="19" t="str">
        <x:f>IF(COUNTIF('Colleague 115'!$A$2:$A$116,A8)&gt;0,"Yes","No")</x:f>
        <x:v>No</x:v>
      </x:c>
      <x:c r="D8" s="19" t="str">
        <x:f>IF(COUNTIF('Volcano 402'!$A$2:$A$403,A8)&gt;0,"Yes","No")</x:f>
        <x:v>No</x:v>
      </x:c>
      <x:c r="E8" s="19" t="str">
        <x:f>IF(COUNTIF('Heatmap 169'!$A$2:$A$170,A8)&gt;0,"Yes","No")</x:f>
        <x:v>Yes</x:v>
      </x:c>
      <x:c r="F8" s="19" t="n">
        <x:f>COUNTIF(C8:E8,"Yes")</x:f>
        <x:v>1</x:v>
      </x:c>
      <x:c r="G8" s="10" t="str">
        <x:f>IF(F8=3,"All three",IF(F8=2,IF(C8="No","Volcano + heatmap",IF(D8="No","Colleague + heatmap","Colleague + volcano")),IF(C8="Yes","Colleague only",IF(D8="Yes","Volcano only","Heatmap only"))))</x:f>
        <x:v>Heatmap only</x:v>
      </x:c>
      <x:c r="H8" s="10" t="str"/>
      <x:c r="I8" s="10" t="str"/>
      <x:c r="J8" s="10" t="str"/>
      <x:c r="K8" s="10" t="str"/>
      <x:c r="L8" s="10" t="str">
        <x:v>Functional candidate</x:v>
      </x:c>
      <x:c r="M8" s="10" t="str">
        <x:v>Detoxification/stress</x:v>
      </x:c>
      <x:c r="N8" s="10" t="str">
        <x:v>Not DEG</x:v>
      </x:c>
    </x:row>
    <x:row r="9">
      <x:c r="A9" s="10" t="str">
        <x:v>LOC126266759</x:v>
      </x:c>
      <x:c r="B9" s="10" t="str">
        <x:v>uncharacterized LOC126266759</x:v>
      </x:c>
      <x:c r="C9" s="19" t="str">
        <x:f>IF(COUNTIF('Colleague 115'!$A$2:$A$116,A9)&gt;0,"Yes","No")</x:f>
        <x:v>No</x:v>
      </x:c>
      <x:c r="D9" s="19" t="str">
        <x:f>IF(COUNTIF('Volcano 402'!$A$2:$A$403,A9)&gt;0,"Yes","No")</x:f>
        <x:v>Yes</x:v>
      </x:c>
      <x:c r="E9" s="19" t="str">
        <x:f>IF(COUNTIF('Heatmap 169'!$A$2:$A$170,A9)&gt;0,"Yes","No")</x:f>
        <x:v>Yes</x:v>
      </x:c>
      <x:c r="F9" s="19" t="n">
        <x:f>COUNTIF(C9:E9,"Yes")</x:f>
        <x:v>2</x:v>
      </x:c>
      <x:c r="G9" s="10" t="str">
        <x:f>IF(F9=3,"All three",IF(F9=2,IF(C9="No","Volcano + heatmap",IF(D9="No","Colleague + heatmap","Colleague + volcano")),IF(C9="Yes","Colleague only",IF(D9="Yes","Volcano only","Heatmap only"))))</x:f>
        <x:v>Volcano + heatmap</x:v>
      </x:c>
      <x:c r="H9" s="10" t="str"/>
      <x:c r="I9" s="10" t="str"/>
      <x:c r="J9" s="10" t="str">
        <x:v>Immune-related</x:v>
      </x:c>
      <x:c r="K9" s="10" t="str">
        <x:v>infection_average_all_diets; infection_diet33; infection_diet50; infection_diet83</x:v>
      </x:c>
      <x:c r="L9" s="10" t="str">
        <x:v>Functional candidate</x:v>
      </x:c>
      <x:c r="M9" s="10" t="str">
        <x:v>Immune-related</x:v>
      </x:c>
      <x:c r="N9" s="10" t="str">
        <x:v>DEG</x:v>
      </x:c>
    </x:row>
    <x:row r="10">
      <x:c r="A10" s="10" t="str">
        <x:v>LOC126266760</x:v>
      </x:c>
      <x:c r="B10" s="10" t="str">
        <x:v>peptidoglycan recognition protein-like</x:v>
      </x:c>
      <x:c r="C10" s="19" t="str">
        <x:f>IF(COUNTIF('Colleague 115'!$A$2:$A$116,A10)&gt;0,"Yes","No")</x:f>
        <x:v>Yes</x:v>
      </x:c>
      <x:c r="D10" s="19" t="str">
        <x:f>IF(COUNTIF('Volcano 402'!$A$2:$A$403,A10)&gt;0,"Yes","No")</x:f>
        <x:v>Yes</x:v>
      </x:c>
      <x:c r="E10" s="19" t="str">
        <x:f>IF(COUNTIF('Heatmap 169'!$A$2:$A$170,A10)&gt;0,"Yes","No")</x:f>
        <x:v>Yes</x:v>
      </x:c>
      <x:c r="F10" s="19" t="n">
        <x:f>COUNTIF(C10:E10,"Yes")</x:f>
        <x:v>3</x:v>
      </x:c>
      <x:c r="G10" s="10" t="str">
        <x:f>IF(F10=3,"All three",IF(F10=2,IF(C10="No","Volcano + heatmap",IF(D10="No","Colleague + heatmap","Colleague + volcano")),IF(C10="Yes","Colleague only",IF(D10="Yes","Volcano only","Heatmap only"))))</x:f>
        <x:v>All three</x:v>
      </x:c>
      <x:c r="H10" s="10" t="str">
        <x:v>Innate Immune Recognition &amp; Signaling</x:v>
      </x:c>
      <x:c r="I10" s="10" t="str">
        <x:v>Pattern Recognition Receptors (PRRs)</x:v>
      </x:c>
      <x:c r="J10" s="10" t="str">
        <x:v>Immune-related</x:v>
      </x:c>
      <x:c r="K10" s="10" t="str">
        <x:v>infection_average_all_diets; infection_diet33; infection_diet50; infection_diet83</x:v>
      </x:c>
      <x:c r="L10" s="10" t="str">
        <x:v>Functional candidate</x:v>
      </x:c>
      <x:c r="M10" s="10" t="str">
        <x:v>Immune-related</x:v>
      </x:c>
      <x:c r="N10" s="10" t="str">
        <x:v>DEG</x:v>
      </x:c>
    </x:row>
    <x:row r="11">
      <x:c r="A11" s="10" t="str">
        <x:v>LOC126266799</x:v>
      </x:c>
      <x:c r="B11" s="10" t="str">
        <x:v>follistatin-related protein 5-like</x:v>
      </x:c>
      <x:c r="C11" s="19" t="str">
        <x:f>IF(COUNTIF('Colleague 115'!$A$2:$A$116,A11)&gt;0,"Yes","No")</x:f>
        <x:v>No</x:v>
      </x:c>
      <x:c r="D11" s="19" t="str">
        <x:f>IF(COUNTIF('Volcano 402'!$A$2:$A$403,A11)&gt;0,"Yes","No")</x:f>
        <x:v>Yes</x:v>
      </x:c>
      <x:c r="E11" s="19" t="str">
        <x:f>IF(COUNTIF('Heatmap 169'!$A$2:$A$170,A11)&gt;0,"Yes","No")</x:f>
        <x:v>No</x:v>
      </x:c>
      <x:c r="F11" s="19" t="n">
        <x:f>COUNTIF(C11:E11,"Yes")</x:f>
        <x:v>1</x:v>
      </x:c>
      <x:c r="G11" s="10" t="str">
        <x:f>IF(F11=3,"All three",IF(F11=2,IF(C11="No","Volcano + heatmap",IF(D11="No","Colleague + heatmap","Colleague + volcano")),IF(C11="Yes","Colleague only",IF(D11="Yes","Volcano only","Heatmap only"))))</x:f>
        <x:v>Volcano only</x:v>
      </x:c>
      <x:c r="H11" s="10" t="str"/>
      <x:c r="I11" s="10" t="str"/>
      <x:c r="J11" s="10" t="str">
        <x:v>Immune-related</x:v>
      </x:c>
      <x:c r="K11" s="10" t="str">
        <x:v>infection_diet50</x:v>
      </x:c>
      <x:c r="L11" s="10" t="str"/>
      <x:c r="M11" s="10" t="str"/>
      <x:c r="N11" s="10" t="str"/>
    </x:row>
    <x:row r="12">
      <x:c r="A12" s="10" t="str">
        <x:v>LOC126266822</x:v>
      </x:c>
      <x:c r="B12" s="10" t="str">
        <x:v>probable cytochrome P450 4aa1</x:v>
      </x:c>
      <x:c r="C12" s="19" t="str">
        <x:f>IF(COUNTIF('Colleague 115'!$A$2:$A$116,A12)&gt;0,"Yes","No")</x:f>
        <x:v>No</x:v>
      </x:c>
      <x:c r="D12" s="19" t="str">
        <x:f>IF(COUNTIF('Volcano 402'!$A$2:$A$403,A12)&gt;0,"Yes","No")</x:f>
        <x:v>Yes</x:v>
      </x:c>
      <x:c r="E12" s="19" t="str">
        <x:f>IF(COUNTIF('Heatmap 169'!$A$2:$A$170,A12)&gt;0,"Yes","No")</x:f>
        <x:v>No</x:v>
      </x:c>
      <x:c r="F12" s="19" t="n">
        <x:f>COUNTIF(C12:E12,"Yes")</x:f>
        <x:v>1</x:v>
      </x:c>
      <x:c r="G12" s="10" t="str">
        <x:f>IF(F12=3,"All three",IF(F12=2,IF(C12="No","Volcano + heatmap",IF(D12="No","Colleague + heatmap","Colleague + volcano")),IF(C12="Yes","Colleague only",IF(D12="Yes","Volcano only","Heatmap only"))))</x:f>
        <x:v>Volcano only</x:v>
      </x:c>
      <x:c r="H12" s="10" t="str"/>
      <x:c r="I12" s="10" t="str"/>
      <x:c r="J12" s="10" t="str">
        <x:v>Detoxification / stress</x:v>
      </x:c>
      <x:c r="K12" s="10" t="str">
        <x:v>infection_average_all_diets; infection_diet33; infection_diet50</x:v>
      </x:c>
      <x:c r="L12" s="10" t="str"/>
      <x:c r="M12" s="10" t="str"/>
      <x:c r="N12" s="10" t="str"/>
    </x:row>
    <x:row r="13">
      <x:c r="A13" s="10" t="str">
        <x:v>LOC126266828</x:v>
      </x:c>
      <x:c r="B13" s="10" t="str">
        <x:v>senecionine N-oxygenase-like</x:v>
      </x:c>
      <x:c r="C13" s="19" t="str">
        <x:f>IF(COUNTIF('Colleague 115'!$A$2:$A$116,A13)&gt;0,"Yes","No")</x:f>
        <x:v>No</x:v>
      </x:c>
      <x:c r="D13" s="19" t="str">
        <x:f>IF(COUNTIF('Volcano 402'!$A$2:$A$403,A13)&gt;0,"Yes","No")</x:f>
        <x:v>Yes</x:v>
      </x:c>
      <x:c r="E13" s="19" t="str">
        <x:f>IF(COUNTIF('Heatmap 169'!$A$2:$A$170,A13)&gt;0,"Yes","No")</x:f>
        <x:v>No</x:v>
      </x:c>
      <x:c r="F13" s="19" t="n">
        <x:f>COUNTIF(C13:E13,"Yes")</x:f>
        <x:v>1</x:v>
      </x:c>
      <x:c r="G13" s="10" t="str">
        <x:f>IF(F13=3,"All three",IF(F13=2,IF(C13="No","Volcano + heatmap",IF(D13="No","Colleague + heatmap","Colleague + volcano")),IF(C13="Yes","Colleague only",IF(D13="Yes","Volcano only","Heatmap only"))))</x:f>
        <x:v>Volcano only</x:v>
      </x:c>
      <x:c r="H13" s="10" t="str"/>
      <x:c r="I13" s="10" t="str"/>
      <x:c r="J13" s="10" t="str">
        <x:v>Detoxification / stress</x:v>
      </x:c>
      <x:c r="K13" s="10" t="str">
        <x:v>infection_average_all_diets</x:v>
      </x:c>
      <x:c r="L13" s="10" t="str"/>
      <x:c r="M13" s="10" t="str"/>
      <x:c r="N13" s="10" t="str"/>
    </x:row>
    <x:row r="14">
      <x:c r="A14" s="10" t="str">
        <x:v>LOC126266841</x:v>
      </x:c>
      <x:c r="B14" s="10" t="str">
        <x:v>FAD-dependent oxidoreductase domain-containing protein 1-like</x:v>
      </x:c>
      <x:c r="C14" s="19" t="str">
        <x:f>IF(COUNTIF('Colleague 115'!$A$2:$A$116,A14)&gt;0,"Yes","No")</x:f>
        <x:v>No</x:v>
      </x:c>
      <x:c r="D14" s="19" t="str">
        <x:f>IF(COUNTIF('Volcano 402'!$A$2:$A$403,A14)&gt;0,"Yes","No")</x:f>
        <x:v>Yes</x:v>
      </x:c>
      <x:c r="E14" s="19" t="str">
        <x:f>IF(COUNTIF('Heatmap 169'!$A$2:$A$170,A14)&gt;0,"Yes","No")</x:f>
        <x:v>No</x:v>
      </x:c>
      <x:c r="F14" s="19" t="n">
        <x:f>COUNTIF(C14:E14,"Yes")</x:f>
        <x:v>1</x:v>
      </x:c>
      <x:c r="G14" s="10" t="str">
        <x:f>IF(F14=3,"All three",IF(F14=2,IF(C14="No","Volcano + heatmap",IF(D14="No","Colleague + heatmap","Colleague + volcano")),IF(C14="Yes","Colleague only",IF(D14="Yes","Volcano only","Heatmap only"))))</x:f>
        <x:v>Volcano only</x:v>
      </x:c>
      <x:c r="H14" s="10" t="str"/>
      <x:c r="I14" s="10" t="str"/>
      <x:c r="J14" s="10" t="str">
        <x:v>Detoxification / stress</x:v>
      </x:c>
      <x:c r="K14" s="10" t="str">
        <x:v>infection_diet50</x:v>
      </x:c>
      <x:c r="L14" s="10" t="str"/>
      <x:c r="M14" s="10" t="str"/>
      <x:c r="N14" s="10" t="str"/>
    </x:row>
    <x:row r="15">
      <x:c r="A15" s="10" t="str">
        <x:v>LOC126266899</x:v>
      </x:c>
      <x:c r="B15" s="10" t="str">
        <x:v>serine protease snake-like</x:v>
      </x:c>
      <x:c r="C15" s="19" t="str">
        <x:f>IF(COUNTIF('Colleague 115'!$A$2:$A$116,A15)&gt;0,"Yes","No")</x:f>
        <x:v>Yes</x:v>
      </x:c>
      <x:c r="D15" s="19" t="str">
        <x:f>IF(COUNTIF('Volcano 402'!$A$2:$A$403,A15)&gt;0,"Yes","No")</x:f>
        <x:v>No</x:v>
      </x:c>
      <x:c r="E15" s="19" t="str">
        <x:f>IF(COUNTIF('Heatmap 169'!$A$2:$A$170,A15)&gt;0,"Yes","No")</x:f>
        <x:v>No</x:v>
      </x:c>
      <x:c r="F15" s="19" t="n">
        <x:f>COUNTIF(C15:E15,"Yes")</x:f>
        <x:v>1</x:v>
      </x:c>
      <x:c r="G15" s="10" t="str">
        <x:f>IF(F15=3,"All three",IF(F15=2,IF(C15="No","Volcano + heatmap",IF(D15="No","Colleague + heatmap","Colleague + volcano")),IF(C15="Yes","Colleague only",IF(D15="Yes","Volcano only","Heatmap only"))))</x:f>
        <x:v>Colleague only</x:v>
      </x:c>
      <x:c r="H15" s="10" t="str">
        <x:v>Innate Immune Recognition &amp; Signaling</x:v>
      </x:c>
      <x:c r="I15" s="10" t="str">
        <x:v>Serine Protease Cascades</x:v>
      </x:c>
      <x:c r="J15" s="10" t="str"/>
      <x:c r="K15" s="10" t="str"/>
      <x:c r="L15" s="10" t="str"/>
      <x:c r="M15" s="10" t="str"/>
      <x:c r="N15" s="10" t="str"/>
    </x:row>
    <x:row r="16">
      <x:c r="A16" s="10" t="str">
        <x:v>LOC126267013</x:v>
      </x:c>
      <x:c r="B16" s="10" t="str">
        <x:v>cytochrome P450 3A6-like</x:v>
      </x:c>
      <x:c r="C16" s="19" t="str">
        <x:f>IF(COUNTIF('Colleague 115'!$A$2:$A$116,A16)&gt;0,"Yes","No")</x:f>
        <x:v>No</x:v>
      </x:c>
      <x:c r="D16" s="19" t="str">
        <x:f>IF(COUNTIF('Volcano 402'!$A$2:$A$403,A16)&gt;0,"Yes","No")</x:f>
        <x:v>Yes</x:v>
      </x:c>
      <x:c r="E16" s="19" t="str">
        <x:f>IF(COUNTIF('Heatmap 169'!$A$2:$A$170,A16)&gt;0,"Yes","No")</x:f>
        <x:v>No</x:v>
      </x:c>
      <x:c r="F16" s="19" t="n">
        <x:f>COUNTIF(C16:E16,"Yes")</x:f>
        <x:v>1</x:v>
      </x:c>
      <x:c r="G16" s="10" t="str">
        <x:f>IF(F16=3,"All three",IF(F16=2,IF(C16="No","Volcano + heatmap",IF(D16="No","Colleague + heatmap","Colleague + volcano")),IF(C16="Yes","Colleague only",IF(D16="Yes","Volcano only","Heatmap only"))))</x:f>
        <x:v>Volcano only</x:v>
      </x:c>
      <x:c r="H16" s="10" t="str"/>
      <x:c r="I16" s="10" t="str"/>
      <x:c r="J16" s="10" t="str">
        <x:v>Detoxification / stress</x:v>
      </x:c>
      <x:c r="K16" s="10" t="str">
        <x:v>infection_average_all_diets; infection_diet50</x:v>
      </x:c>
      <x:c r="L16" s="10" t="str"/>
      <x:c r="M16" s="10" t="str"/>
      <x:c r="N16" s="10" t="str"/>
    </x:row>
    <x:row r="17">
      <x:c r="A17" s="10" t="str">
        <x:v>LOC126267038</x:v>
      </x:c>
      <x:c r="B17" s="10" t="str">
        <x:v>signal transducer and activator of transcription 5A</x:v>
      </x:c>
      <x:c r="C17" s="19" t="str">
        <x:f>IF(COUNTIF('Colleague 115'!$A$2:$A$116,A17)&gt;0,"Yes","No")</x:f>
        <x:v>No</x:v>
      </x:c>
      <x:c r="D17" s="19" t="str">
        <x:f>IF(COUNTIF('Volcano 402'!$A$2:$A$403,A17)&gt;0,"Yes","No")</x:f>
        <x:v>Yes</x:v>
      </x:c>
      <x:c r="E17" s="19" t="str">
        <x:f>IF(COUNTIF('Heatmap 169'!$A$2:$A$170,A17)&gt;0,"Yes","No")</x:f>
        <x:v>Yes</x:v>
      </x:c>
      <x:c r="F17" s="19" t="n">
        <x:f>COUNTIF(C17:E17,"Yes")</x:f>
        <x:v>2</x:v>
      </x:c>
      <x:c r="G17" s="10" t="str">
        <x:f>IF(F17=3,"All three",IF(F17=2,IF(C17="No","Volcano + heatmap",IF(D17="No","Colleague + heatmap","Colleague + volcano")),IF(C17="Yes","Colleague only",IF(D17="Yes","Volcano only","Heatmap only"))))</x:f>
        <x:v>Volcano + heatmap</x:v>
      </x:c>
      <x:c r="H17" s="10" t="str"/>
      <x:c r="I17" s="10" t="str"/>
      <x:c r="J17" s="10" t="str">
        <x:v>Immune-related</x:v>
      </x:c>
      <x:c r="K17" s="10" t="str">
        <x:v>infection_average_all_diets; infection_diet33; infection_diet50; infection_diet83</x:v>
      </x:c>
      <x:c r="L17" s="10" t="str">
        <x:v>Functional candidate</x:v>
      </x:c>
      <x:c r="M17" s="10" t="str">
        <x:v>Immune-related</x:v>
      </x:c>
      <x:c r="N17" s="10" t="str">
        <x:v>DEG</x:v>
      </x:c>
    </x:row>
    <x:row r="18">
      <x:c r="A18" s="10" t="str">
        <x:v>LOC126267061</x:v>
      </x:c>
      <x:c r="B18" s="10" t="str">
        <x:v>peptidoglycan recognition protein 1-like</x:v>
      </x:c>
      <x:c r="C18" s="19" t="str">
        <x:f>IF(COUNTIF('Colleague 115'!$A$2:$A$116,A18)&gt;0,"Yes","No")</x:f>
        <x:v>Yes</x:v>
      </x:c>
      <x:c r="D18" s="19" t="str">
        <x:f>IF(COUNTIF('Volcano 402'!$A$2:$A$403,A18)&gt;0,"Yes","No")</x:f>
        <x:v>Yes</x:v>
      </x:c>
      <x:c r="E18" s="19" t="str">
        <x:f>IF(COUNTIF('Heatmap 169'!$A$2:$A$170,A18)&gt;0,"Yes","No")</x:f>
        <x:v>No</x:v>
      </x:c>
      <x:c r="F18" s="19" t="n">
        <x:f>COUNTIF(C18:E18,"Yes")</x:f>
        <x:v>2</x:v>
      </x:c>
      <x:c r="G18" s="10" t="str">
        <x:f>IF(F18=3,"All three",IF(F18=2,IF(C18="No","Volcano + heatmap",IF(D18="No","Colleague + heatmap","Colleague + volcano")),IF(C18="Yes","Colleague only",IF(D18="Yes","Volcano only","Heatmap only"))))</x:f>
        <x:v>Colleague + volcano</x:v>
      </x:c>
      <x:c r="H18" s="10" t="str">
        <x:v>Innate Immune Recognition &amp; Signaling</x:v>
      </x:c>
      <x:c r="I18" s="10" t="str">
        <x:v>Pattern Recognition Receptors (PRRs)</x:v>
      </x:c>
      <x:c r="J18" s="10" t="str">
        <x:v>Antimicrobial peptides</x:v>
      </x:c>
      <x:c r="K18" s="10" t="str">
        <x:v>infection_average_all_diets; infection_diet33; infection_diet50; infection_diet83</x:v>
      </x:c>
      <x:c r="L18" s="10" t="str"/>
      <x:c r="M18" s="10" t="str"/>
      <x:c r="N18" s="10" t="str"/>
    </x:row>
    <x:row r="19">
      <x:c r="A19" s="10" t="str">
        <x:v>LOC126267104</x:v>
      </x:c>
      <x:c r="B19" s="10" t="str">
        <x:v>Immunoglobulin C-2 Type</x:v>
      </x:c>
      <x:c r="C19" s="19" t="str">
        <x:f>IF(COUNTIF('Colleague 115'!$A$2:$A$116,A19)&gt;0,"Yes","No")</x:f>
        <x:v>No</x:v>
      </x:c>
      <x:c r="D19" s="19" t="str">
        <x:f>IF(COUNTIF('Volcano 402'!$A$2:$A$403,A19)&gt;0,"Yes","No")</x:f>
        <x:v>No</x:v>
      </x:c>
      <x:c r="E19" s="19" t="str">
        <x:f>IF(COUNTIF('Heatmap 169'!$A$2:$A$170,A19)&gt;0,"Yes","No")</x:f>
        <x:v>Yes</x:v>
      </x:c>
      <x:c r="F19" s="19" t="n">
        <x:f>COUNTIF(C19:E19,"Yes")</x:f>
        <x:v>1</x:v>
      </x:c>
      <x:c r="G19" s="10" t="str">
        <x:f>IF(F19=3,"All three",IF(F19=2,IF(C19="No","Volcano + heatmap",IF(D19="No","Colleague + heatmap","Colleague + volcano")),IF(C19="Yes","Colleague only",IF(D19="Yes","Volcano only","Heatmap only"))))</x:f>
        <x:v>Heatmap only</x:v>
      </x:c>
      <x:c r="H19" s="10" t="str"/>
      <x:c r="I19" s="10" t="str"/>
      <x:c r="J19" s="10" t="str"/>
      <x:c r="K19" s="10" t="str"/>
      <x:c r="L19" s="10" t="str">
        <x:v>Functional candidate</x:v>
      </x:c>
      <x:c r="M19" s="10" t="str">
        <x:v>Immune-related</x:v>
      </x:c>
      <x:c r="N19" s="10" t="str">
        <x:v>Not DEG</x:v>
      </x:c>
    </x:row>
    <x:row r="20">
      <x:c r="A20" s="10" t="str">
        <x:v>LOC126267143</x:v>
      </x:c>
      <x:c r="B20" s="10" t="str">
        <x:v>C-type lectin (CTL) or carbohydrate-recognition domain (CRD)</x:v>
      </x:c>
      <x:c r="C20" s="19" t="str">
        <x:f>IF(COUNTIF('Colleague 115'!$A$2:$A$116,A20)&gt;0,"Yes","No")</x:f>
        <x:v>No</x:v>
      </x:c>
      <x:c r="D20" s="19" t="str">
        <x:f>IF(COUNTIF('Volcano 402'!$A$2:$A$403,A20)&gt;0,"Yes","No")</x:f>
        <x:v>No</x:v>
      </x:c>
      <x:c r="E20" s="19" t="str">
        <x:f>IF(COUNTIF('Heatmap 169'!$A$2:$A$170,A20)&gt;0,"Yes","No")</x:f>
        <x:v>Yes</x:v>
      </x:c>
      <x:c r="F20" s="19" t="n">
        <x:f>COUNTIF(C20:E20,"Yes")</x:f>
        <x:v>1</x:v>
      </x:c>
      <x:c r="G20" s="10" t="str">
        <x:f>IF(F20=3,"All three",IF(F20=2,IF(C20="No","Volcano + heatmap",IF(D20="No","Colleague + heatmap","Colleague + volcano")),IF(C20="Yes","Colleague only",IF(D20="Yes","Volcano only","Heatmap only"))))</x:f>
        <x:v>Heatmap only</x:v>
      </x:c>
      <x:c r="H20" s="10" t="str"/>
      <x:c r="I20" s="10" t="str"/>
      <x:c r="J20" s="10" t="str"/>
      <x:c r="K20" s="10" t="str"/>
      <x:c r="L20" s="10" t="str">
        <x:v>Functional candidate</x:v>
      </x:c>
      <x:c r="M20" s="10" t="str">
        <x:v>Immune-related</x:v>
      </x:c>
      <x:c r="N20" s="10" t="str">
        <x:v>Not DEG</x:v>
      </x:c>
    </x:row>
    <x:row r="21">
      <x:c r="A21" s="10" t="str">
        <x:v>LOC126267148</x:v>
      </x:c>
      <x:c r="B21" s="10" t="str">
        <x:v>uncharacterized LOC126267148</x:v>
      </x:c>
      <x:c r="C21" s="19" t="str">
        <x:f>IF(COUNTIF('Colleague 115'!$A$2:$A$116,A21)&gt;0,"Yes","No")</x:f>
        <x:v>No</x:v>
      </x:c>
      <x:c r="D21" s="19" t="str">
        <x:f>IF(COUNTIF('Volcano 402'!$A$2:$A$403,A21)&gt;0,"Yes","No")</x:f>
        <x:v>Yes</x:v>
      </x:c>
      <x:c r="E21" s="19" t="str">
        <x:f>IF(COUNTIF('Heatmap 169'!$A$2:$A$170,A21)&gt;0,"Yes","No")</x:f>
        <x:v>No</x:v>
      </x:c>
      <x:c r="F21" s="19" t="n">
        <x:f>COUNTIF(C21:E21,"Yes")</x:f>
        <x:v>1</x:v>
      </x:c>
      <x:c r="G21" s="10" t="str">
        <x:f>IF(F21=3,"All three",IF(F21=2,IF(C21="No","Volcano + heatmap",IF(D21="No","Colleague + heatmap","Colleague + volcano")),IF(C21="Yes","Colleague only",IF(D21="Yes","Volcano only","Heatmap only"))))</x:f>
        <x:v>Volcano only</x:v>
      </x:c>
      <x:c r="H21" s="10" t="str"/>
      <x:c r="I21" s="10" t="str"/>
      <x:c r="J21" s="10" t="str">
        <x:v>Immune-related</x:v>
      </x:c>
      <x:c r="K21" s="10" t="str">
        <x:v>infected_diet83_vs33; infected_diet83_vs50; infection_diet50; infection_diet83</x:v>
      </x:c>
      <x:c r="L21" s="10" t="str"/>
      <x:c r="M21" s="10" t="str"/>
      <x:c r="N21" s="10" t="str"/>
    </x:row>
    <x:row r="22">
      <x:c r="A22" s="10" t="str">
        <x:v>LOC126267162</x:v>
      </x:c>
      <x:c r="B22" s="10" t="str">
        <x:v>uncharacterized LOC126267162</x:v>
      </x:c>
      <x:c r="C22" s="19" t="str">
        <x:f>IF(COUNTIF('Colleague 115'!$A$2:$A$116,A22)&gt;0,"Yes","No")</x:f>
        <x:v>No</x:v>
      </x:c>
      <x:c r="D22" s="19" t="str">
        <x:f>IF(COUNTIF('Volcano 402'!$A$2:$A$403,A22)&gt;0,"Yes","No")</x:f>
        <x:v>Yes</x:v>
      </x:c>
      <x:c r="E22" s="19" t="str">
        <x:f>IF(COUNTIF('Heatmap 169'!$A$2:$A$170,A22)&gt;0,"Yes","No")</x:f>
        <x:v>Yes</x:v>
      </x:c>
      <x:c r="F22" s="19" t="n">
        <x:f>COUNTIF(C22:E22,"Yes")</x:f>
        <x:v>2</x:v>
      </x:c>
      <x:c r="G22" s="10" t="str">
        <x:f>IF(F22=3,"All three",IF(F22=2,IF(C22="No","Volcano + heatmap",IF(D22="No","Colleague + heatmap","Colleague + volcano")),IF(C22="Yes","Colleague only",IF(D22="Yes","Volcano only","Heatmap only"))))</x:f>
        <x:v>Volcano + heatmap</x:v>
      </x:c>
      <x:c r="H22" s="10" t="str"/>
      <x:c r="I22" s="10" t="str"/>
      <x:c r="J22" s="10" t="str">
        <x:v>Antimicrobial peptides</x:v>
      </x:c>
      <x:c r="K22" s="10" t="str">
        <x:v>infection_average_all_diets; infection_diet33; infection_diet50; infection_diet83</x:v>
      </x:c>
      <x:c r="L22" s="10" t="str">
        <x:v>Top DEG</x:v>
      </x:c>
      <x:c r="M22" s="10" t="str">
        <x:v>Immune-related</x:v>
      </x:c>
      <x:c r="N22" s="10" t="str">
        <x:v>DEG</x:v>
      </x:c>
    </x:row>
    <x:row r="23">
      <x:c r="A23" s="10" t="str">
        <x:v>LOC126267163</x:v>
      </x:c>
      <x:c r="B23" s="10" t="str">
        <x:v>peptidoglycan-recognition protein SA-like</x:v>
      </x:c>
      <x:c r="C23" s="19" t="str">
        <x:f>IF(COUNTIF('Colleague 115'!$A$2:$A$116,A23)&gt;0,"Yes","No")</x:f>
        <x:v>Yes</x:v>
      </x:c>
      <x:c r="D23" s="19" t="str">
        <x:f>IF(COUNTIF('Volcano 402'!$A$2:$A$403,A23)&gt;0,"Yes","No")</x:f>
        <x:v>Yes</x:v>
      </x:c>
      <x:c r="E23" s="19" t="str">
        <x:f>IF(COUNTIF('Heatmap 169'!$A$2:$A$170,A23)&gt;0,"Yes","No")</x:f>
        <x:v>Yes</x:v>
      </x:c>
      <x:c r="F23" s="19" t="n">
        <x:f>COUNTIF(C23:E23,"Yes")</x:f>
        <x:v>3</x:v>
      </x:c>
      <x:c r="G23" s="10" t="str">
        <x:f>IF(F23=3,"All three",IF(F23=2,IF(C23="No","Volcano + heatmap",IF(D23="No","Colleague + heatmap","Colleague + volcano")),IF(C23="Yes","Colleague only",IF(D23="Yes","Volcano only","Heatmap only"))))</x:f>
        <x:v>All three</x:v>
      </x:c>
      <x:c r="H23" s="10" t="str">
        <x:v>Innate Immune Recognition &amp; Signaling</x:v>
      </x:c>
      <x:c r="I23" s="10" t="str">
        <x:v>Pattern Recognition Receptors (PRRs)</x:v>
      </x:c>
      <x:c r="J23" s="10" t="str">
        <x:v>Immune-related</x:v>
      </x:c>
      <x:c r="K23" s="10" t="str">
        <x:v>infection_average_all_diets; infection_diet33; infection_diet50; infection_diet83</x:v>
      </x:c>
      <x:c r="L23" s="10" t="str">
        <x:v>Functional candidate</x:v>
      </x:c>
      <x:c r="M23" s="10" t="str">
        <x:v>Immune-related</x:v>
      </x:c>
      <x:c r="N23" s="10" t="str">
        <x:v>DEG</x:v>
      </x:c>
    </x:row>
    <x:row r="24">
      <x:c r="A24" s="10" t="str">
        <x:v>LOC126267215</x:v>
      </x:c>
      <x:c r="B24" s="10" t="str">
        <x:v>peptidoglycan recognition protein 1-like</x:v>
      </x:c>
      <x:c r="C24" s="19" t="str">
        <x:f>IF(COUNTIF('Colleague 115'!$A$2:$A$116,A24)&gt;0,"Yes","No")</x:f>
        <x:v>Yes</x:v>
      </x:c>
      <x:c r="D24" s="19" t="str">
        <x:f>IF(COUNTIF('Volcano 402'!$A$2:$A$403,A24)&gt;0,"Yes","No")</x:f>
        <x:v>Yes</x:v>
      </x:c>
      <x:c r="E24" s="19" t="str">
        <x:f>IF(COUNTIF('Heatmap 169'!$A$2:$A$170,A24)&gt;0,"Yes","No")</x:f>
        <x:v>Yes</x:v>
      </x:c>
      <x:c r="F24" s="19" t="n">
        <x:f>COUNTIF(C24:E24,"Yes")</x:f>
        <x:v>3</x:v>
      </x:c>
      <x:c r="G24" s="10" t="str">
        <x:f>IF(F24=3,"All three",IF(F24=2,IF(C24="No","Volcano + heatmap",IF(D24="No","Colleague + heatmap","Colleague + volcano")),IF(C24="Yes","Colleague only",IF(D24="Yes","Volcano only","Heatmap only"))))</x:f>
        <x:v>All three</x:v>
      </x:c>
      <x:c r="H24" s="10" t="str">
        <x:v>Innate Immune Recognition &amp; Signaling</x:v>
      </x:c>
      <x:c r="I24" s="10" t="str">
        <x:v>Pattern Recognition Receptors (PRRs)</x:v>
      </x:c>
      <x:c r="J24" s="10" t="str">
        <x:v>Antimicrobial peptides</x:v>
      </x:c>
      <x:c r="K24" s="10" t="str">
        <x:v>infection_average_all_diets; infection_diet33; infection_diet50; infection_diet83</x:v>
      </x:c>
      <x:c r="L24" s="10" t="str">
        <x:v>Functional candidate</x:v>
      </x:c>
      <x:c r="M24" s="10" t="str">
        <x:v>Immune-related</x:v>
      </x:c>
      <x:c r="N24" s="10" t="str">
        <x:v>DEG</x:v>
      </x:c>
    </x:row>
    <x:row r="25">
      <x:c r="A25" s="10" t="str">
        <x:v>LOC126267216</x:v>
      </x:c>
      <x:c r="B25" s="10" t="str">
        <x:v>peptidoglycan recognition protein 1-like</x:v>
      </x:c>
      <x:c r="C25" s="19" t="str">
        <x:f>IF(COUNTIF('Colleague 115'!$A$2:$A$116,A25)&gt;0,"Yes","No")</x:f>
        <x:v>Yes</x:v>
      </x:c>
      <x:c r="D25" s="19" t="str">
        <x:f>IF(COUNTIF('Volcano 402'!$A$2:$A$403,A25)&gt;0,"Yes","No")</x:f>
        <x:v>Yes</x:v>
      </x:c>
      <x:c r="E25" s="19" t="str">
        <x:f>IF(COUNTIF('Heatmap 169'!$A$2:$A$170,A25)&gt;0,"Yes","No")</x:f>
        <x:v>Yes</x:v>
      </x:c>
      <x:c r="F25" s="19" t="n">
        <x:f>COUNTIF(C25:E25,"Yes")</x:f>
        <x:v>3</x:v>
      </x:c>
      <x:c r="G25" s="10" t="str">
        <x:f>IF(F25=3,"All three",IF(F25=2,IF(C25="No","Volcano + heatmap",IF(D25="No","Colleague + heatmap","Colleague + volcano")),IF(C25="Yes","Colleague only",IF(D25="Yes","Volcano only","Heatmap only"))))</x:f>
        <x:v>All three</x:v>
      </x:c>
      <x:c r="H25" s="10" t="str">
        <x:v>Innate Immune Recognition &amp; Signaling</x:v>
      </x:c>
      <x:c r="I25" s="10" t="str">
        <x:v>Pattern Recognition Receptors (PRRs)</x:v>
      </x:c>
      <x:c r="J25" s="10" t="str">
        <x:v>Antimicrobial peptides</x:v>
      </x:c>
      <x:c r="K25" s="10" t="str">
        <x:v>infected_diet33_vs50; infection_average_all_diets; infection_diet33; infection_diet50; infection_diet83</x:v>
      </x:c>
      <x:c r="L25" s="10" t="str">
        <x:v>Functional candidate</x:v>
      </x:c>
      <x:c r="M25" s="10" t="str">
        <x:v>Immune-related</x:v>
      </x:c>
      <x:c r="N25" s="10" t="str">
        <x:v>DEG</x:v>
      </x:c>
    </x:row>
    <x:row r="26">
      <x:c r="A26" s="10" t="str">
        <x:v>LOC126267217</x:v>
      </x:c>
      <x:c r="B26" s="10" t="str">
        <x:v>peptidoglycan recognition protein 1-like</x:v>
      </x:c>
      <x:c r="C26" s="19" t="str">
        <x:f>IF(COUNTIF('Colleague 115'!$A$2:$A$116,A26)&gt;0,"Yes","No")</x:f>
        <x:v>Yes</x:v>
      </x:c>
      <x:c r="D26" s="19" t="str">
        <x:f>IF(COUNTIF('Volcano 402'!$A$2:$A$403,A26)&gt;0,"Yes","No")</x:f>
        <x:v>Yes</x:v>
      </x:c>
      <x:c r="E26" s="19" t="str">
        <x:f>IF(COUNTIF('Heatmap 169'!$A$2:$A$170,A26)&gt;0,"Yes","No")</x:f>
        <x:v>No</x:v>
      </x:c>
      <x:c r="F26" s="19" t="n">
        <x:f>COUNTIF(C26:E26,"Yes")</x:f>
        <x:v>2</x:v>
      </x:c>
      <x:c r="G26" s="10" t="str">
        <x:f>IF(F26=3,"All three",IF(F26=2,IF(C26="No","Volcano + heatmap",IF(D26="No","Colleague + heatmap","Colleague + volcano")),IF(C26="Yes","Colleague only",IF(D26="Yes","Volcano only","Heatmap only"))))</x:f>
        <x:v>Colleague + volcano</x:v>
      </x:c>
      <x:c r="H26" s="10" t="str">
        <x:v>Innate Immune Recognition &amp; Signaling</x:v>
      </x:c>
      <x:c r="I26" s="10" t="str">
        <x:v>Pattern Recognition Receptors (PRRs)</x:v>
      </x:c>
      <x:c r="J26" s="10" t="str">
        <x:v>Antimicrobial peptides</x:v>
      </x:c>
      <x:c r="K26" s="10" t="str">
        <x:v>infection_average_all_diets; infection_diet33; infection_diet50; infection_diet83</x:v>
      </x:c>
      <x:c r="L26" s="10" t="str"/>
      <x:c r="M26" s="10" t="str"/>
      <x:c r="N26" s="10" t="str"/>
    </x:row>
    <x:row r="27">
      <x:c r="A27" s="10" t="str">
        <x:v>LOC126267253</x:v>
      </x:c>
      <x:c r="B27" s="10" t="str">
        <x:v>endoplasmic reticulum chaperone BiP-like</x:v>
      </x:c>
      <x:c r="C27" s="19" t="str">
        <x:f>IF(COUNTIF('Colleague 115'!$A$2:$A$116,A27)&gt;0,"Yes","No")</x:f>
        <x:v>Yes</x:v>
      </x:c>
      <x:c r="D27" s="19" t="str">
        <x:f>IF(COUNTIF('Volcano 402'!$A$2:$A$403,A27)&gt;0,"Yes","No")</x:f>
        <x:v>Yes</x:v>
      </x:c>
      <x:c r="E27" s="19" t="str">
        <x:f>IF(COUNTIF('Heatmap 169'!$A$2:$A$170,A27)&gt;0,"Yes","No")</x:f>
        <x:v>No</x:v>
      </x:c>
      <x:c r="F27" s="19" t="n">
        <x:f>COUNTIF(C27:E27,"Yes")</x:f>
        <x:v>2</x:v>
      </x:c>
      <x:c r="G27" s="10" t="str">
        <x:f>IF(F27=3,"All three",IF(F27=2,IF(C27="No","Volcano + heatmap",IF(D27="No","Colleague + heatmap","Colleague + volcano")),IF(C27="Yes","Colleague only",IF(D27="Yes","Volcano only","Heatmap only"))))</x:f>
        <x:v>Colleague + volcano</x:v>
      </x:c>
      <x:c r="H27" s="10" t="str">
        <x:v>Protein Synthesis &amp; Translation</x:v>
      </x:c>
      <x:c r="I27" s="10" t="str">
        <x:v>Protein Folding, Quality Control &amp; Chaperones</x:v>
      </x:c>
      <x:c r="J27" s="10" t="str">
        <x:v>Detoxification / stress</x:v>
      </x:c>
      <x:c r="K27" s="10" t="str">
        <x:v>infection_average_all_diets; infection_diet33; infection_diet50</x:v>
      </x:c>
      <x:c r="L27" s="10" t="str"/>
      <x:c r="M27" s="10" t="str"/>
      <x:c r="N27" s="10" t="str"/>
    </x:row>
    <x:row r="28">
      <x:c r="A28" s="10" t="str">
        <x:v>LOC126267256</x:v>
      </x:c>
      <x:c r="B28" s="10" t="str">
        <x:v>C-type lectin (CTL) or carbohydrate-recognition domain (CRD)</x:v>
      </x:c>
      <x:c r="C28" s="19" t="str">
        <x:f>IF(COUNTIF('Colleague 115'!$A$2:$A$116,A28)&gt;0,"Yes","No")</x:f>
        <x:v>No</x:v>
      </x:c>
      <x:c r="D28" s="19" t="str">
        <x:f>IF(COUNTIF('Volcano 402'!$A$2:$A$403,A28)&gt;0,"Yes","No")</x:f>
        <x:v>No</x:v>
      </x:c>
      <x:c r="E28" s="19" t="str">
        <x:f>IF(COUNTIF('Heatmap 169'!$A$2:$A$170,A28)&gt;0,"Yes","No")</x:f>
        <x:v>Yes</x:v>
      </x:c>
      <x:c r="F28" s="19" t="n">
        <x:f>COUNTIF(C28:E28,"Yes")</x:f>
        <x:v>1</x:v>
      </x:c>
      <x:c r="G28" s="10" t="str">
        <x:f>IF(F28=3,"All three",IF(F28=2,IF(C28="No","Volcano + heatmap",IF(D28="No","Colleague + heatmap","Colleague + volcano")),IF(C28="Yes","Colleague only",IF(D28="Yes","Volcano only","Heatmap only"))))</x:f>
        <x:v>Heatmap only</x:v>
      </x:c>
      <x:c r="H28" s="10" t="str"/>
      <x:c r="I28" s="10" t="str"/>
      <x:c r="J28" s="10" t="str"/>
      <x:c r="K28" s="10" t="str"/>
      <x:c r="L28" s="10" t="str">
        <x:v>Functional candidate</x:v>
      </x:c>
      <x:c r="M28" s="10" t="str">
        <x:v>Immune-related</x:v>
      </x:c>
      <x:c r="N28" s="10" t="str">
        <x:v>Not DEG</x:v>
      </x:c>
    </x:row>
    <x:row r="29">
      <x:c r="A29" s="10" t="str">
        <x:v>LOC126267295</x:v>
      </x:c>
      <x:c r="B29" s="10" t="str">
        <x:v>Fibrinogen-related domains (FReDs)</x:v>
      </x:c>
      <x:c r="C29" s="19" t="str">
        <x:f>IF(COUNTIF('Colleague 115'!$A$2:$A$116,A29)&gt;0,"Yes","No")</x:f>
        <x:v>No</x:v>
      </x:c>
      <x:c r="D29" s="19" t="str">
        <x:f>IF(COUNTIF('Volcano 402'!$A$2:$A$403,A29)&gt;0,"Yes","No")</x:f>
        <x:v>No</x:v>
      </x:c>
      <x:c r="E29" s="19" t="str">
        <x:f>IF(COUNTIF('Heatmap 169'!$A$2:$A$170,A29)&gt;0,"Yes","No")</x:f>
        <x:v>Yes</x:v>
      </x:c>
      <x:c r="F29" s="19" t="n">
        <x:f>COUNTIF(C29:E29,"Yes")</x:f>
        <x:v>1</x:v>
      </x:c>
      <x:c r="G29" s="10" t="str">
        <x:f>IF(F29=3,"All three",IF(F29=2,IF(C29="No","Volcano + heatmap",IF(D29="No","Colleague + heatmap","Colleague + volcano")),IF(C29="Yes","Colleague only",IF(D29="Yes","Volcano only","Heatmap only"))))</x:f>
        <x:v>Heatmap only</x:v>
      </x:c>
      <x:c r="H29" s="10" t="str"/>
      <x:c r="I29" s="10" t="str"/>
      <x:c r="J29" s="10" t="str"/>
      <x:c r="K29" s="10" t="str"/>
      <x:c r="L29" s="10" t="str">
        <x:v>Top DEG</x:v>
      </x:c>
      <x:c r="M29" s="10" t="str">
        <x:v>Other strong DEG</x:v>
      </x:c>
      <x:c r="N29" s="10" t="str">
        <x:v>DEG</x:v>
      </x:c>
    </x:row>
    <x:row r="30">
      <x:c r="A30" s="10" t="str">
        <x:v>LOC126267335</x:v>
      </x:c>
      <x:c r="B30" s="10" t="str">
        <x:v>CD80-like C2-set immunoglobulin domain</x:v>
      </x:c>
      <x:c r="C30" s="19" t="str">
        <x:f>IF(COUNTIF('Colleague 115'!$A$2:$A$116,A30)&gt;0,"Yes","No")</x:f>
        <x:v>No</x:v>
      </x:c>
      <x:c r="D30" s="19" t="str">
        <x:f>IF(COUNTIF('Volcano 402'!$A$2:$A$403,A30)&gt;0,"Yes","No")</x:f>
        <x:v>No</x:v>
      </x:c>
      <x:c r="E30" s="19" t="str">
        <x:f>IF(COUNTIF('Heatmap 169'!$A$2:$A$170,A30)&gt;0,"Yes","No")</x:f>
        <x:v>Yes</x:v>
      </x:c>
      <x:c r="F30" s="19" t="n">
        <x:f>COUNTIF(C30:E30,"Yes")</x:f>
        <x:v>1</x:v>
      </x:c>
      <x:c r="G30" s="10" t="str">
        <x:f>IF(F30=3,"All three",IF(F30=2,IF(C30="No","Volcano + heatmap",IF(D30="No","Colleague + heatmap","Colleague + volcano")),IF(C30="Yes","Colleague only",IF(D30="Yes","Volcano only","Heatmap only"))))</x:f>
        <x:v>Heatmap only</x:v>
      </x:c>
      <x:c r="H30" s="10" t="str"/>
      <x:c r="I30" s="10" t="str"/>
      <x:c r="J30" s="10" t="str"/>
      <x:c r="K30" s="10" t="str"/>
      <x:c r="L30" s="10" t="str">
        <x:v>Functional candidate</x:v>
      </x:c>
      <x:c r="M30" s="10" t="str">
        <x:v>Immune-related</x:v>
      </x:c>
      <x:c r="N30" s="10" t="str">
        <x:v>Not DEG</x:v>
      </x:c>
    </x:row>
    <x:row r="31">
      <x:c r="A31" s="10" t="str">
        <x:v>LOC126267343</x:v>
      </x:c>
      <x:c r="B31" s="10" t="str">
        <x:v>uncharacterized LOC126267343</x:v>
      </x:c>
      <x:c r="C31" s="19" t="str">
        <x:f>IF(COUNTIF('Colleague 115'!$A$2:$A$116,A31)&gt;0,"Yes","No")</x:f>
        <x:v>No</x:v>
      </x:c>
      <x:c r="D31" s="19" t="str">
        <x:f>IF(COUNTIF('Volcano 402'!$A$2:$A$403,A31)&gt;0,"Yes","No")</x:f>
        <x:v>Yes</x:v>
      </x:c>
      <x:c r="E31" s="19" t="str">
        <x:f>IF(COUNTIF('Heatmap 169'!$A$2:$A$170,A31)&gt;0,"Yes","No")</x:f>
        <x:v>Yes</x:v>
      </x:c>
      <x:c r="F31" s="19" t="n">
        <x:f>COUNTIF(C31:E31,"Yes")</x:f>
        <x:v>2</x:v>
      </x:c>
      <x:c r="G31" s="10" t="str">
        <x:f>IF(F31=3,"All three",IF(F31=2,IF(C31="No","Volcano + heatmap",IF(D31="No","Colleague + heatmap","Colleague + volcano")),IF(C31="Yes","Colleague only",IF(D31="Yes","Volcano only","Heatmap only"))))</x:f>
        <x:v>Volcano + heatmap</x:v>
      </x:c>
      <x:c r="H31" s="10" t="str"/>
      <x:c r="I31" s="10" t="str"/>
      <x:c r="J31" s="10" t="str">
        <x:v>Immune-related</x:v>
      </x:c>
      <x:c r="K31" s="10" t="str">
        <x:v>infection_average_all_diets; infection_diet33; infection_diet50; infection_diet83</x:v>
      </x:c>
      <x:c r="L31" s="10" t="str">
        <x:v>Functional candidate</x:v>
      </x:c>
      <x:c r="M31" s="10" t="str">
        <x:v>Immune-related</x:v>
      </x:c>
      <x:c r="N31" s="10" t="str">
        <x:v>DEG</x:v>
      </x:c>
    </x:row>
    <x:row r="32">
      <x:c r="A32" s="10" t="str">
        <x:v>LOC126267421</x:v>
      </x:c>
      <x:c r="B32" s="10" t="str">
        <x:v>Cytochrome P450</x:v>
      </x:c>
      <x:c r="C32" s="19" t="str">
        <x:f>IF(COUNTIF('Colleague 115'!$A$2:$A$116,A32)&gt;0,"Yes","No")</x:f>
        <x:v>No</x:v>
      </x:c>
      <x:c r="D32" s="19" t="str">
        <x:f>IF(COUNTIF('Volcano 402'!$A$2:$A$403,A32)&gt;0,"Yes","No")</x:f>
        <x:v>No</x:v>
      </x:c>
      <x:c r="E32" s="19" t="str">
        <x:f>IF(COUNTIF('Heatmap 169'!$A$2:$A$170,A32)&gt;0,"Yes","No")</x:f>
        <x:v>Yes</x:v>
      </x:c>
      <x:c r="F32" s="19" t="n">
        <x:f>COUNTIF(C32:E32,"Yes")</x:f>
        <x:v>1</x:v>
      </x:c>
      <x:c r="G32" s="10" t="str">
        <x:f>IF(F32=3,"All three",IF(F32=2,IF(C32="No","Volcano + heatmap",IF(D32="No","Colleague + heatmap","Colleague + volcano")),IF(C32="Yes","Colleague only",IF(D32="Yes","Volcano only","Heatmap only"))))</x:f>
        <x:v>Heatmap only</x:v>
      </x:c>
      <x:c r="H32" s="10" t="str"/>
      <x:c r="I32" s="10" t="str"/>
      <x:c r="J32" s="10" t="str"/>
      <x:c r="K32" s="10" t="str"/>
      <x:c r="L32" s="10" t="str">
        <x:v>Functional candidate</x:v>
      </x:c>
      <x:c r="M32" s="10" t="str">
        <x:v>Detoxification/stress</x:v>
      </x:c>
      <x:c r="N32" s="10" t="str">
        <x:v>Not DEG</x:v>
      </x:c>
    </x:row>
    <x:row r="33">
      <x:c r="A33" s="10" t="str">
        <x:v>LOC126267439</x:v>
      </x:c>
      <x:c r="B33" s="10" t="str">
        <x:v>locomotion-related protein Hikaru genki-like</x:v>
      </x:c>
      <x:c r="C33" s="19" t="str">
        <x:f>IF(COUNTIF('Colleague 115'!$A$2:$A$116,A33)&gt;0,"Yes","No")</x:f>
        <x:v>No</x:v>
      </x:c>
      <x:c r="D33" s="19" t="str">
        <x:f>IF(COUNTIF('Volcano 402'!$A$2:$A$403,A33)&gt;0,"Yes","No")</x:f>
        <x:v>Yes</x:v>
      </x:c>
      <x:c r="E33" s="19" t="str">
        <x:f>IF(COUNTIF('Heatmap 169'!$A$2:$A$170,A33)&gt;0,"Yes","No")</x:f>
        <x:v>No</x:v>
      </x:c>
      <x:c r="F33" s="19" t="n">
        <x:f>COUNTIF(C33:E33,"Yes")</x:f>
        <x:v>1</x:v>
      </x:c>
      <x:c r="G33" s="10" t="str">
        <x:f>IF(F33=3,"All three",IF(F33=2,IF(C33="No","Volcano + heatmap",IF(D33="No","Colleague + heatmap","Colleague + volcano")),IF(C33="Yes","Colleague only",IF(D33="Yes","Volcano only","Heatmap only"))))</x:f>
        <x:v>Volcano only</x:v>
      </x:c>
      <x:c r="H33" s="10" t="str"/>
      <x:c r="I33" s="10" t="str"/>
      <x:c r="J33" s="10" t="str">
        <x:v>Immune-related</x:v>
      </x:c>
      <x:c r="K33" s="10" t="str">
        <x:v>infection_diet50</x:v>
      </x:c>
      <x:c r="L33" s="10" t="str"/>
      <x:c r="M33" s="10" t="str"/>
      <x:c r="N33" s="10" t="str"/>
    </x:row>
    <x:row r="34">
      <x:c r="A34" s="10" t="str">
        <x:v>LOC126267442</x:v>
      </x:c>
      <x:c r="B34" s="10" t="str">
        <x:v>CLIP domain-containing serine protease 14D-like</x:v>
      </x:c>
      <x:c r="C34" s="19" t="str">
        <x:f>IF(COUNTIF('Colleague 115'!$A$2:$A$116,A34)&gt;0,"Yes","No")</x:f>
        <x:v>Yes</x:v>
      </x:c>
      <x:c r="D34" s="19" t="str">
        <x:f>IF(COUNTIF('Volcano 402'!$A$2:$A$403,A34)&gt;0,"Yes","No")</x:f>
        <x:v>No</x:v>
      </x:c>
      <x:c r="E34" s="19" t="str">
        <x:f>IF(COUNTIF('Heatmap 169'!$A$2:$A$170,A34)&gt;0,"Yes","No")</x:f>
        <x:v>No</x:v>
      </x:c>
      <x:c r="F34" s="19" t="n">
        <x:f>COUNTIF(C34:E34,"Yes")</x:f>
        <x:v>1</x:v>
      </x:c>
      <x:c r="G34" s="10" t="str">
        <x:f>IF(F34=3,"All three",IF(F34=2,IF(C34="No","Volcano + heatmap",IF(D34="No","Colleague + heatmap","Colleague + volcano")),IF(C34="Yes","Colleague only",IF(D34="Yes","Volcano only","Heatmap only"))))</x:f>
        <x:v>Colleague only</x:v>
      </x:c>
      <x:c r="H34" s="10" t="str">
        <x:v>Innate Immune Recognition &amp; Signaling</x:v>
      </x:c>
      <x:c r="I34" s="10" t="str">
        <x:v>Serine Protease Cascades</x:v>
      </x:c>
      <x:c r="J34" s="10" t="str"/>
      <x:c r="K34" s="10" t="str"/>
      <x:c r="L34" s="10" t="str"/>
      <x:c r="M34" s="10" t="str"/>
      <x:c r="N34" s="10" t="str"/>
    </x:row>
    <x:row r="35">
      <x:c r="A35" s="10" t="str">
        <x:v>LOC126267471</x:v>
      </x:c>
      <x:c r="B35" s="10" t="str">
        <x:v>PC-esterase domain-containing protein 1A-like</x:v>
      </x:c>
      <x:c r="C35" s="19" t="str">
        <x:f>IF(COUNTIF('Colleague 115'!$A$2:$A$116,A35)&gt;0,"Yes","No")</x:f>
        <x:v>No</x:v>
      </x:c>
      <x:c r="D35" s="19" t="str">
        <x:f>IF(COUNTIF('Volcano 402'!$A$2:$A$403,A35)&gt;0,"Yes","No")</x:f>
        <x:v>Yes</x:v>
      </x:c>
      <x:c r="E35" s="19" t="str">
        <x:f>IF(COUNTIF('Heatmap 169'!$A$2:$A$170,A35)&gt;0,"Yes","No")</x:f>
        <x:v>No</x:v>
      </x:c>
      <x:c r="F35" s="19" t="n">
        <x:f>COUNTIF(C35:E35,"Yes")</x:f>
        <x:v>1</x:v>
      </x:c>
      <x:c r="G35" s="10" t="str">
        <x:f>IF(F35=3,"All three",IF(F35=2,IF(C35="No","Volcano + heatmap",IF(D35="No","Colleague + heatmap","Colleague + volcano")),IF(C35="Yes","Colleague only",IF(D35="Yes","Volcano only","Heatmap only"))))</x:f>
        <x:v>Volcano only</x:v>
      </x:c>
      <x:c r="H35" s="10" t="str"/>
      <x:c r="I35" s="10" t="str"/>
      <x:c r="J35" s="10" t="str">
        <x:v>Detoxification / stress</x:v>
      </x:c>
      <x:c r="K35" s="10" t="str">
        <x:v>infection_average_all_diets; infection_diet33; infection_diet50; infection_diet83</x:v>
      </x:c>
      <x:c r="L35" s="10" t="str"/>
      <x:c r="M35" s="10" t="str"/>
      <x:c r="N35" s="10" t="str"/>
    </x:row>
    <x:row r="36">
      <x:c r="A36" s="10" t="str">
        <x:v>LOC126267477</x:v>
      </x:c>
      <x:c r="B36" s="10" t="str">
        <x:v>kininogen-1-like</x:v>
      </x:c>
      <x:c r="C36" s="19" t="str">
        <x:f>IF(COUNTIF('Colleague 115'!$A$2:$A$116,A36)&gt;0,"Yes","No")</x:f>
        <x:v>No</x:v>
      </x:c>
      <x:c r="D36" s="19" t="str">
        <x:f>IF(COUNTIF('Volcano 402'!$A$2:$A$403,A36)&gt;0,"Yes","No")</x:f>
        <x:v>Yes</x:v>
      </x:c>
      <x:c r="E36" s="19" t="str">
        <x:f>IF(COUNTIF('Heatmap 169'!$A$2:$A$170,A36)&gt;0,"Yes","No")</x:f>
        <x:v>No</x:v>
      </x:c>
      <x:c r="F36" s="19" t="n">
        <x:f>COUNTIF(C36:E36,"Yes")</x:f>
        <x:v>1</x:v>
      </x:c>
      <x:c r="G36" s="10" t="str">
        <x:f>IF(F36=3,"All three",IF(F36=2,IF(C36="No","Volcano + heatmap",IF(D36="No","Colleague + heatmap","Colleague + volcano")),IF(C36="Yes","Colleague only",IF(D36="Yes","Volcano only","Heatmap only"))))</x:f>
        <x:v>Volcano only</x:v>
      </x:c>
      <x:c r="H36" s="10" t="str"/>
      <x:c r="I36" s="10" t="str"/>
      <x:c r="J36" s="10" t="str">
        <x:v>Immune-related</x:v>
      </x:c>
      <x:c r="K36" s="10" t="str">
        <x:v>infected_diet33_vs50; infection_diet50</x:v>
      </x:c>
      <x:c r="L36" s="10" t="str"/>
      <x:c r="M36" s="10" t="str"/>
      <x:c r="N36" s="10" t="str"/>
    </x:row>
    <x:row r="37">
      <x:c r="A37" s="10" t="str">
        <x:v>LOC126267478</x:v>
      </x:c>
      <x:c r="B37" s="10" t="str">
        <x:v>cysteine-type endopeptidase inhibitor activity. It is involved in the biological process described with proteolysis</x:v>
      </x:c>
      <x:c r="C37" s="19" t="str">
        <x:f>IF(COUNTIF('Colleague 115'!$A$2:$A$116,A37)&gt;0,"Yes","No")</x:f>
        <x:v>No</x:v>
      </x:c>
      <x:c r="D37" s="19" t="str">
        <x:f>IF(COUNTIF('Volcano 402'!$A$2:$A$403,A37)&gt;0,"Yes","No")</x:f>
        <x:v>No</x:v>
      </x:c>
      <x:c r="E37" s="19" t="str">
        <x:f>IF(COUNTIF('Heatmap 169'!$A$2:$A$170,A37)&gt;0,"Yes","No")</x:f>
        <x:v>Yes</x:v>
      </x:c>
      <x:c r="F37" s="19" t="n">
        <x:f>COUNTIF(C37:E37,"Yes")</x:f>
        <x:v>1</x:v>
      </x:c>
      <x:c r="G37" s="10" t="str">
        <x:f>IF(F37=3,"All three",IF(F37=2,IF(C37="No","Volcano + heatmap",IF(D37="No","Colleague + heatmap","Colleague + volcano")),IF(C37="Yes","Colleague only",IF(D37="Yes","Volcano only","Heatmap only"))))</x:f>
        <x:v>Heatmap only</x:v>
      </x:c>
      <x:c r="H37" s="10" t="str"/>
      <x:c r="I37" s="10" t="str"/>
      <x:c r="J37" s="10" t="str"/>
      <x:c r="K37" s="10" t="str"/>
      <x:c r="L37" s="10" t="str">
        <x:v>Functional candidate</x:v>
      </x:c>
      <x:c r="M37" s="10" t="str">
        <x:v>Immune-related</x:v>
      </x:c>
      <x:c r="N37" s="10" t="str">
        <x:v>Not DEG</x:v>
      </x:c>
    </x:row>
    <x:row r="38">
      <x:c r="A38" s="10" t="str">
        <x:v>LOC126267519</x:v>
      </x:c>
      <x:c r="B38" s="10" t="str">
        <x:v>cysteine-type endopeptidase inhibitor activity. It is involved in the biological process described with proteolysis</x:v>
      </x:c>
      <x:c r="C38" s="19" t="str">
        <x:f>IF(COUNTIF('Colleague 115'!$A$2:$A$116,A38)&gt;0,"Yes","No")</x:f>
        <x:v>No</x:v>
      </x:c>
      <x:c r="D38" s="19" t="str">
        <x:f>IF(COUNTIF('Volcano 402'!$A$2:$A$403,A38)&gt;0,"Yes","No")</x:f>
        <x:v>No</x:v>
      </x:c>
      <x:c r="E38" s="19" t="str">
        <x:f>IF(COUNTIF('Heatmap 169'!$A$2:$A$170,A38)&gt;0,"Yes","No")</x:f>
        <x:v>Yes</x:v>
      </x:c>
      <x:c r="F38" s="19" t="n">
        <x:f>COUNTIF(C38:E38,"Yes")</x:f>
        <x:v>1</x:v>
      </x:c>
      <x:c r="G38" s="10" t="str">
        <x:f>IF(F38=3,"All three",IF(F38=2,IF(C38="No","Volcano + heatmap",IF(D38="No","Colleague + heatmap","Colleague + volcano")),IF(C38="Yes","Colleague only",IF(D38="Yes","Volcano only","Heatmap only"))))</x:f>
        <x:v>Heatmap only</x:v>
      </x:c>
      <x:c r="H38" s="10" t="str"/>
      <x:c r="I38" s="10" t="str"/>
      <x:c r="J38" s="10" t="str"/>
      <x:c r="K38" s="10" t="str"/>
      <x:c r="L38" s="10" t="str">
        <x:v>Functional candidate</x:v>
      </x:c>
      <x:c r="M38" s="10" t="str">
        <x:v>Immune-related</x:v>
      </x:c>
      <x:c r="N38" s="10" t="str">
        <x:v>Not DEG</x:v>
      </x:c>
    </x:row>
    <x:row r="39">
      <x:c r="A39" s="10" t="str">
        <x:v>LOC126267545</x:v>
      </x:c>
      <x:c r="B39" s="10" t="str">
        <x:v>serine protease Hayan-like</x:v>
      </x:c>
      <x:c r="C39" s="19" t="str">
        <x:f>IF(COUNTIF('Colleague 115'!$A$2:$A$116,A39)&gt;0,"Yes","No")</x:f>
        <x:v>Yes</x:v>
      </x:c>
      <x:c r="D39" s="19" t="str">
        <x:f>IF(COUNTIF('Volcano 402'!$A$2:$A$403,A39)&gt;0,"Yes","No")</x:f>
        <x:v>No</x:v>
      </x:c>
      <x:c r="E39" s="19" t="str">
        <x:f>IF(COUNTIF('Heatmap 169'!$A$2:$A$170,A39)&gt;0,"Yes","No")</x:f>
        <x:v>Yes</x:v>
      </x:c>
      <x:c r="F39" s="19" t="n">
        <x:f>COUNTIF(C39:E39,"Yes")</x:f>
        <x:v>2</x:v>
      </x:c>
      <x:c r="G39" s="10" t="str">
        <x:f>IF(F39=3,"All three",IF(F39=2,IF(C39="No","Volcano + heatmap",IF(D39="No","Colleague + heatmap","Colleague + volcano")),IF(C39="Yes","Colleague only",IF(D39="Yes","Volcano only","Heatmap only"))))</x:f>
        <x:v>Colleague + heatmap</x:v>
      </x:c>
      <x:c r="H39" s="10" t="str">
        <x:v>Innate Immune Recognition &amp; Signaling</x:v>
      </x:c>
      <x:c r="I39" s="10" t="str">
        <x:v>Serine Protease Cascades</x:v>
      </x:c>
      <x:c r="J39" s="10" t="str"/>
      <x:c r="K39" s="10" t="str"/>
      <x:c r="L39" s="10" t="str">
        <x:v>Functional candidate</x:v>
      </x:c>
      <x:c r="M39" s="10" t="str">
        <x:v>Nutrition/metabolism</x:v>
      </x:c>
      <x:c r="N39" s="10" t="str">
        <x:v>DEG</x:v>
      </x:c>
    </x:row>
    <x:row r="40">
      <x:c r="A40" s="10" t="str">
        <x:v>LOC126267571</x:v>
      </x:c>
      <x:c r="B40" s="10" t="str">
        <x:v>NADH-ubiquinone oxidoreductase chain 5-like</x:v>
      </x:c>
      <x:c r="C40" s="19" t="str">
        <x:f>IF(COUNTIF('Colleague 115'!$A$2:$A$116,A40)&gt;0,"Yes","No")</x:f>
        <x:v>No</x:v>
      </x:c>
      <x:c r="D40" s="19" t="str">
        <x:f>IF(COUNTIF('Volcano 402'!$A$2:$A$403,A40)&gt;0,"Yes","No")</x:f>
        <x:v>Yes</x:v>
      </x:c>
      <x:c r="E40" s="19" t="str">
        <x:f>IF(COUNTIF('Heatmap 169'!$A$2:$A$170,A40)&gt;0,"Yes","No")</x:f>
        <x:v>No</x:v>
      </x:c>
      <x:c r="F40" s="19" t="n">
        <x:f>COUNTIF(C40:E40,"Yes")</x:f>
        <x:v>1</x:v>
      </x:c>
      <x:c r="G40" s="10" t="str">
        <x:f>IF(F40=3,"All three",IF(F40=2,IF(C40="No","Volcano + heatmap",IF(D40="No","Colleague + heatmap","Colleague + volcano")),IF(C40="Yes","Colleague only",IF(D40="Yes","Volcano only","Heatmap only"))))</x:f>
        <x:v>Volcano only</x:v>
      </x:c>
      <x:c r="H40" s="10" t="str"/>
      <x:c r="I40" s="10" t="str"/>
      <x:c r="J40" s="10" t="str">
        <x:v>Detoxification / stress</x:v>
      </x:c>
      <x:c r="K40" s="10" t="str">
        <x:v>infection_average_all_diets; infection_diet83</x:v>
      </x:c>
      <x:c r="L40" s="10" t="str"/>
      <x:c r="M40" s="10" t="str"/>
      <x:c r="N40" s="10" t="str"/>
    </x:row>
    <x:row r="41">
      <x:c r="A41" s="10" t="str">
        <x:v>LOC126267652</x:v>
      </x:c>
      <x:c r="B41" s="10" t="str">
        <x:v>peptidoglycan-recognition protein SC1a-like</x:v>
      </x:c>
      <x:c r="C41" s="19" t="str">
        <x:f>IF(COUNTIF('Colleague 115'!$A$2:$A$116,A41)&gt;0,"Yes","No")</x:f>
        <x:v>Yes</x:v>
      </x:c>
      <x:c r="D41" s="19" t="str">
        <x:f>IF(COUNTIF('Volcano 402'!$A$2:$A$403,A41)&gt;0,"Yes","No")</x:f>
        <x:v>Yes</x:v>
      </x:c>
      <x:c r="E41" s="19" t="str">
        <x:f>IF(COUNTIF('Heatmap 169'!$A$2:$A$170,A41)&gt;0,"Yes","No")</x:f>
        <x:v>Yes</x:v>
      </x:c>
      <x:c r="F41" s="19" t="n">
        <x:f>COUNTIF(C41:E41,"Yes")</x:f>
        <x:v>3</x:v>
      </x:c>
      <x:c r="G41" s="10" t="str">
        <x:f>IF(F41=3,"All three",IF(F41=2,IF(C41="No","Volcano + heatmap",IF(D41="No","Colleague + heatmap","Colleague + volcano")),IF(C41="Yes","Colleague only",IF(D41="Yes","Volcano only","Heatmap only"))))</x:f>
        <x:v>All three</x:v>
      </x:c>
      <x:c r="H41" s="10" t="str">
        <x:v>Innate Immune Recognition &amp; Signaling</x:v>
      </x:c>
      <x:c r="I41" s="10" t="str">
        <x:v>Pattern Recognition Receptors (PRRs)</x:v>
      </x:c>
      <x:c r="J41" s="10" t="str">
        <x:v>Immune-related</x:v>
      </x:c>
      <x:c r="K41" s="10" t="str">
        <x:v>infection_average_all_diets; infection_diet33; infection_diet50; infection_diet83</x:v>
      </x:c>
      <x:c r="L41" s="10" t="str">
        <x:v>Functional candidate</x:v>
      </x:c>
      <x:c r="M41" s="10" t="str">
        <x:v>Immune-related</x:v>
      </x:c>
      <x:c r="N41" s="10" t="str">
        <x:v>DEG</x:v>
      </x:c>
    </x:row>
    <x:row r="42">
      <x:c r="A42" s="10" t="str">
        <x:v>LOC126267671</x:v>
      </x:c>
      <x:c r="B42" s="10" t="str">
        <x:v>peptidoglycan-recognition protein SD-like</x:v>
      </x:c>
      <x:c r="C42" s="19" t="str">
        <x:f>IF(COUNTIF('Colleague 115'!$A$2:$A$116,A42)&gt;0,"Yes","No")</x:f>
        <x:v>No</x:v>
      </x:c>
      <x:c r="D42" s="19" t="str">
        <x:f>IF(COUNTIF('Volcano 402'!$A$2:$A$403,A42)&gt;0,"Yes","No")</x:f>
        <x:v>Yes</x:v>
      </x:c>
      <x:c r="E42" s="19" t="str">
        <x:f>IF(COUNTIF('Heatmap 169'!$A$2:$A$170,A42)&gt;0,"Yes","No")</x:f>
        <x:v>No</x:v>
      </x:c>
      <x:c r="F42" s="19" t="n">
        <x:f>COUNTIF(C42:E42,"Yes")</x:f>
        <x:v>1</x:v>
      </x:c>
      <x:c r="G42" s="10" t="str">
        <x:f>IF(F42=3,"All three",IF(F42=2,IF(C42="No","Volcano + heatmap",IF(D42="No","Colleague + heatmap","Colleague + volcano")),IF(C42="Yes","Colleague only",IF(D42="Yes","Volcano only","Heatmap only"))))</x:f>
        <x:v>Volcano only</x:v>
      </x:c>
      <x:c r="H42" s="10" t="str"/>
      <x:c r="I42" s="10" t="str"/>
      <x:c r="J42" s="10" t="str">
        <x:v>Antimicrobial peptides</x:v>
      </x:c>
      <x:c r="K42" s="10" t="str">
        <x:v>infection_diet83</x:v>
      </x:c>
      <x:c r="L42" s="10" t="str"/>
      <x:c r="M42" s="10" t="str"/>
      <x:c r="N42" s="10" t="str"/>
    </x:row>
    <x:row r="43">
      <x:c r="A43" s="10" t="str">
        <x:v>LOC126267690</x:v>
      </x:c>
      <x:c r="B43" s="10" t="str">
        <x:v>Domain of unknown function (DUF1986)</x:v>
      </x:c>
      <x:c r="C43" s="19" t="str">
        <x:f>IF(COUNTIF('Colleague 115'!$A$2:$A$116,A43)&gt;0,"Yes","No")</x:f>
        <x:v>No</x:v>
      </x:c>
      <x:c r="D43" s="19" t="str">
        <x:f>IF(COUNTIF('Volcano 402'!$A$2:$A$403,A43)&gt;0,"Yes","No")</x:f>
        <x:v>No</x:v>
      </x:c>
      <x:c r="E43" s="19" t="str">
        <x:f>IF(COUNTIF('Heatmap 169'!$A$2:$A$170,A43)&gt;0,"Yes","No")</x:f>
        <x:v>Yes</x:v>
      </x:c>
      <x:c r="F43" s="19" t="n">
        <x:f>COUNTIF(C43:E43,"Yes")</x:f>
        <x:v>1</x:v>
      </x:c>
      <x:c r="G43" s="10" t="str">
        <x:f>IF(F43=3,"All three",IF(F43=2,IF(C43="No","Volcano + heatmap",IF(D43="No","Colleague + heatmap","Colleague + volcano")),IF(C43="Yes","Colleague only",IF(D43="Yes","Volcano only","Heatmap only"))))</x:f>
        <x:v>Heatmap only</x:v>
      </x:c>
      <x:c r="H43" s="10" t="str"/>
      <x:c r="I43" s="10" t="str"/>
      <x:c r="J43" s="10" t="str"/>
      <x:c r="K43" s="10" t="str"/>
      <x:c r="L43" s="10" t="str">
        <x:v>Functional candidate</x:v>
      </x:c>
      <x:c r="M43" s="10" t="str">
        <x:v>Immune-related</x:v>
      </x:c>
      <x:c r="N43" s="10" t="str">
        <x:v>Not DEG</x:v>
      </x:c>
    </x:row>
    <x:row r="44">
      <x:c r="A44" s="10" t="str">
        <x:v>LOC126267876</x:v>
      </x:c>
      <x:c r="B44" s="10" t="str">
        <x:v>uncharacterized LOC126267876</x:v>
      </x:c>
      <x:c r="C44" s="19" t="str">
        <x:f>IF(COUNTIF('Colleague 115'!$A$2:$A$116,A44)&gt;0,"Yes","No")</x:f>
        <x:v>No</x:v>
      </x:c>
      <x:c r="D44" s="19" t="str">
        <x:f>IF(COUNTIF('Volcano 402'!$A$2:$A$403,A44)&gt;0,"Yes","No")</x:f>
        <x:v>Yes</x:v>
      </x:c>
      <x:c r="E44" s="19" t="str">
        <x:f>IF(COUNTIF('Heatmap 169'!$A$2:$A$170,A44)&gt;0,"Yes","No")</x:f>
        <x:v>No</x:v>
      </x:c>
      <x:c r="F44" s="19" t="n">
        <x:f>COUNTIF(C44:E44,"Yes")</x:f>
        <x:v>1</x:v>
      </x:c>
      <x:c r="G44" s="10" t="str">
        <x:f>IF(F44=3,"All three",IF(F44=2,IF(C44="No","Volcano + heatmap",IF(D44="No","Colleague + heatmap","Colleague + volcano")),IF(C44="Yes","Colleague only",IF(D44="Yes","Volcano only","Heatmap only"))))</x:f>
        <x:v>Volcano only</x:v>
      </x:c>
      <x:c r="H44" s="10" t="str"/>
      <x:c r="I44" s="10" t="str"/>
      <x:c r="J44" s="10" t="str">
        <x:v>Antimicrobial peptides</x:v>
      </x:c>
      <x:c r="K44" s="10" t="str">
        <x:v>infection_average_all_diets; infection_diet50; infection_diet83</x:v>
      </x:c>
      <x:c r="L44" s="10" t="str"/>
      <x:c r="M44" s="10" t="str"/>
      <x:c r="N44" s="10" t="str"/>
    </x:row>
    <x:row r="45">
      <x:c r="A45" s="10" t="str">
        <x:v>LOC126267980</x:v>
      </x:c>
      <x:c r="B45" s="10" t="str">
        <x:v>acyl-CoA Delta-9 desaturase-like</x:v>
      </x:c>
      <x:c r="C45" s="19" t="str">
        <x:f>IF(COUNTIF('Colleague 115'!$A$2:$A$116,A45)&gt;0,"Yes","No")</x:f>
        <x:v>No</x:v>
      </x:c>
      <x:c r="D45" s="19" t="str">
        <x:f>IF(COUNTIF('Volcano 402'!$A$2:$A$403,A45)&gt;0,"Yes","No")</x:f>
        <x:v>Yes</x:v>
      </x:c>
      <x:c r="E45" s="19" t="str">
        <x:f>IF(COUNTIF('Heatmap 169'!$A$2:$A$170,A45)&gt;0,"Yes","No")</x:f>
        <x:v>No</x:v>
      </x:c>
      <x:c r="F45" s="19" t="n">
        <x:f>COUNTIF(C45:E45,"Yes")</x:f>
        <x:v>1</x:v>
      </x:c>
      <x:c r="G45" s="10" t="str">
        <x:f>IF(F45=3,"All three",IF(F45=2,IF(C45="No","Volcano + heatmap",IF(D45="No","Colleague + heatmap","Colleague + volcano")),IF(C45="Yes","Colleague only",IF(D45="Yes","Volcano only","Heatmap only"))))</x:f>
        <x:v>Volcano only</x:v>
      </x:c>
      <x:c r="H45" s="10" t="str"/>
      <x:c r="I45" s="10" t="str"/>
      <x:c r="J45" s="10" t="str">
        <x:v>Lipid synthesis / metabolism</x:v>
      </x:c>
      <x:c r="K45" s="10" t="str">
        <x:v>infection_average_all_diets; infection_diet33; infection_diet50; infection_diet83</x:v>
      </x:c>
      <x:c r="L45" s="10" t="str"/>
      <x:c r="M45" s="10" t="str"/>
      <x:c r="N45" s="10" t="str"/>
    </x:row>
    <x:row r="46">
      <x:c r="A46" s="10" t="str">
        <x:v>LOC126268026</x:v>
      </x:c>
      <x:c r="B46" s="10" t="str">
        <x:v>juvenile hormone esterase-like</x:v>
      </x:c>
      <x:c r="C46" s="19" t="str">
        <x:f>IF(COUNTIF('Colleague 115'!$A$2:$A$116,A46)&gt;0,"Yes","No")</x:f>
        <x:v>No</x:v>
      </x:c>
      <x:c r="D46" s="19" t="str">
        <x:f>IF(COUNTIF('Volcano 402'!$A$2:$A$403,A46)&gt;0,"Yes","No")</x:f>
        <x:v>Yes</x:v>
      </x:c>
      <x:c r="E46" s="19" t="str">
        <x:f>IF(COUNTIF('Heatmap 169'!$A$2:$A$170,A46)&gt;0,"Yes","No")</x:f>
        <x:v>No</x:v>
      </x:c>
      <x:c r="F46" s="19" t="n">
        <x:f>COUNTIF(C46:E46,"Yes")</x:f>
        <x:v>1</x:v>
      </x:c>
      <x:c r="G46" s="10" t="str">
        <x:f>IF(F46=3,"All three",IF(F46=2,IF(C46="No","Volcano + heatmap",IF(D46="No","Colleague + heatmap","Colleague + volcano")),IF(C46="Yes","Colleague only",IF(D46="Yes","Volcano only","Heatmap only"))))</x:f>
        <x:v>Volcano only</x:v>
      </x:c>
      <x:c r="H46" s="10" t="str"/>
      <x:c r="I46" s="10" t="str"/>
      <x:c r="J46" s="10" t="str">
        <x:v>Lipid synthesis / metabolism</x:v>
      </x:c>
      <x:c r="K46" s="10" t="str">
        <x:v>infection_average_all_diets; infection_diet50</x:v>
      </x:c>
      <x:c r="L46" s="10" t="str"/>
      <x:c r="M46" s="10" t="str"/>
      <x:c r="N46" s="10" t="str"/>
    </x:row>
    <x:row r="47">
      <x:c r="A47" s="10" t="str">
        <x:v>LOC126268068</x:v>
      </x:c>
      <x:c r="B47" s="10" t="str">
        <x:v>peptidoglycan recognition protein 1-like</x:v>
      </x:c>
      <x:c r="C47" s="19" t="str">
        <x:f>IF(COUNTIF('Colleague 115'!$A$2:$A$116,A47)&gt;0,"Yes","No")</x:f>
        <x:v>Yes</x:v>
      </x:c>
      <x:c r="D47" s="19" t="str">
        <x:f>IF(COUNTIF('Volcano 402'!$A$2:$A$403,A47)&gt;0,"Yes","No")</x:f>
        <x:v>Yes</x:v>
      </x:c>
      <x:c r="E47" s="19" t="str">
        <x:f>IF(COUNTIF('Heatmap 169'!$A$2:$A$170,A47)&gt;0,"Yes","No")</x:f>
        <x:v>Yes</x:v>
      </x:c>
      <x:c r="F47" s="19" t="n">
        <x:f>COUNTIF(C47:E47,"Yes")</x:f>
        <x:v>3</x:v>
      </x:c>
      <x:c r="G47" s="10" t="str">
        <x:f>IF(F47=3,"All three",IF(F47=2,IF(C47="No","Volcano + heatmap",IF(D47="No","Colleague + heatmap","Colleague + volcano")),IF(C47="Yes","Colleague only",IF(D47="Yes","Volcano only","Heatmap only"))))</x:f>
        <x:v>All three</x:v>
      </x:c>
      <x:c r="H47" s="10" t="str">
        <x:v>Innate Immune Recognition &amp; Signaling</x:v>
      </x:c>
      <x:c r="I47" s="10" t="str">
        <x:v>Pattern Recognition Receptors (PRRs)</x:v>
      </x:c>
      <x:c r="J47" s="10" t="str">
        <x:v>Antimicrobial peptides</x:v>
      </x:c>
      <x:c r="K47" s="10" t="str">
        <x:v>infection_average_all_diets; infection_diet33; infection_diet50; infection_diet83</x:v>
      </x:c>
      <x:c r="L47" s="10" t="str">
        <x:v>Functional candidate</x:v>
      </x:c>
      <x:c r="M47" s="10" t="str">
        <x:v>Immune-related</x:v>
      </x:c>
      <x:c r="N47" s="10" t="str">
        <x:v>DEG</x:v>
      </x:c>
    </x:row>
    <x:row r="48">
      <x:c r="A48" s="10" t="str">
        <x:v>LOC126268069</x:v>
      </x:c>
      <x:c r="B48" s="10" t="str">
        <x:v>gamma-interferon-inducible lysosomal thiol reductase-like</x:v>
      </x:c>
      <x:c r="C48" s="19" t="str">
        <x:f>IF(COUNTIF('Colleague 115'!$A$2:$A$116,A48)&gt;0,"Yes","No")</x:f>
        <x:v>Yes</x:v>
      </x:c>
      <x:c r="D48" s="19" t="str">
        <x:f>IF(COUNTIF('Volcano 402'!$A$2:$A$403,A48)&gt;0,"Yes","No")</x:f>
        <x:v>No</x:v>
      </x:c>
      <x:c r="E48" s="19" t="str">
        <x:f>IF(COUNTIF('Heatmap 169'!$A$2:$A$170,A48)&gt;0,"Yes","No")</x:f>
        <x:v>No</x:v>
      </x:c>
      <x:c r="F48" s="19" t="n">
        <x:f>COUNTIF(C48:E48,"Yes")</x:f>
        <x:v>1</x:v>
      </x:c>
      <x:c r="G48" s="10" t="str">
        <x:f>IF(F48=3,"All three",IF(F48=2,IF(C48="No","Volcano + heatmap",IF(D48="No","Colleague + heatmap","Colleague + volcano")),IF(C48="Yes","Colleague only",IF(D48="Yes","Volcano only","Heatmap only"))))</x:f>
        <x:v>Colleague only</x:v>
      </x:c>
      <x:c r="H48" s="10" t="str">
        <x:v>Cellular Immunity</x:v>
      </x:c>
      <x:c r="I48" s="10" t="str">
        <x:v>Lysosomal Processing &amp; Antigen Presentation (GILT)</x:v>
      </x:c>
      <x:c r="J48" s="10" t="str"/>
      <x:c r="K48" s="10" t="str"/>
      <x:c r="L48" s="10" t="str"/>
      <x:c r="M48" s="10" t="str"/>
      <x:c r="N48" s="10" t="str"/>
    </x:row>
    <x:row r="49">
      <x:c r="A49" s="10" t="str">
        <x:v>LOC126268096</x:v>
      </x:c>
      <x:c r="B49" s="10" t="str">
        <x:v>methyl farnesoate epoxidase-like</x:v>
      </x:c>
      <x:c r="C49" s="19" t="str">
        <x:f>IF(COUNTIF('Colleague 115'!$A$2:$A$116,A49)&gt;0,"Yes","No")</x:f>
        <x:v>No</x:v>
      </x:c>
      <x:c r="D49" s="19" t="str">
        <x:f>IF(COUNTIF('Volcano 402'!$A$2:$A$403,A49)&gt;0,"Yes","No")</x:f>
        <x:v>Yes</x:v>
      </x:c>
      <x:c r="E49" s="19" t="str">
        <x:f>IF(COUNTIF('Heatmap 169'!$A$2:$A$170,A49)&gt;0,"Yes","No")</x:f>
        <x:v>No</x:v>
      </x:c>
      <x:c r="F49" s="19" t="n">
        <x:f>COUNTIF(C49:E49,"Yes")</x:f>
        <x:v>1</x:v>
      </x:c>
      <x:c r="G49" s="10" t="str">
        <x:f>IF(F49=3,"All three",IF(F49=2,IF(C49="No","Volcano + heatmap",IF(D49="No","Colleague + heatmap","Colleague + volcano")),IF(C49="Yes","Colleague only",IF(D49="Yes","Volcano only","Heatmap only"))))</x:f>
        <x:v>Volcano only</x:v>
      </x:c>
      <x:c r="H49" s="10" t="str"/>
      <x:c r="I49" s="10" t="str"/>
      <x:c r="J49" s="10" t="str">
        <x:v>Detoxification / stress</x:v>
      </x:c>
      <x:c r="K49" s="10" t="str">
        <x:v>infection_diet50</x:v>
      </x:c>
      <x:c r="L49" s="10" t="str"/>
      <x:c r="M49" s="10" t="str"/>
      <x:c r="N49" s="10" t="str"/>
    </x:row>
    <x:row r="50">
      <x:c r="A50" s="10" t="str">
        <x:v>LOC126268099</x:v>
      </x:c>
      <x:c r="B50" s="10" t="str">
        <x:v>methyl farnesoate epoxidase-like</x:v>
      </x:c>
      <x:c r="C50" s="19" t="str">
        <x:f>IF(COUNTIF('Colleague 115'!$A$2:$A$116,A50)&gt;0,"Yes","No")</x:f>
        <x:v>No</x:v>
      </x:c>
      <x:c r="D50" s="19" t="str">
        <x:f>IF(COUNTIF('Volcano 402'!$A$2:$A$403,A50)&gt;0,"Yes","No")</x:f>
        <x:v>Yes</x:v>
      </x:c>
      <x:c r="E50" s="19" t="str">
        <x:f>IF(COUNTIF('Heatmap 169'!$A$2:$A$170,A50)&gt;0,"Yes","No")</x:f>
        <x:v>Yes</x:v>
      </x:c>
      <x:c r="F50" s="19" t="n">
        <x:f>COUNTIF(C50:E50,"Yes")</x:f>
        <x:v>2</x:v>
      </x:c>
      <x:c r="G50" s="10" t="str">
        <x:f>IF(F50=3,"All three",IF(F50=2,IF(C50="No","Volcano + heatmap",IF(D50="No","Colleague + heatmap","Colleague + volcano")),IF(C50="Yes","Colleague only",IF(D50="Yes","Volcano only","Heatmap only"))))</x:f>
        <x:v>Volcano + heatmap</x:v>
      </x:c>
      <x:c r="H50" s="10" t="str"/>
      <x:c r="I50" s="10" t="str"/>
      <x:c r="J50" s="10" t="str">
        <x:v>Detoxification / stress</x:v>
      </x:c>
      <x:c r="K50" s="10" t="str">
        <x:v>infection_average_all_diets; infection_diet83</x:v>
      </x:c>
      <x:c r="L50" s="10" t="str">
        <x:v>Functional candidate</x:v>
      </x:c>
      <x:c r="M50" s="10" t="str">
        <x:v>Detoxification/stress</x:v>
      </x:c>
      <x:c r="N50" s="10" t="str">
        <x:v>DEG</x:v>
      </x:c>
    </x:row>
    <x:row r="51">
      <x:c r="A51" s="10" t="str">
        <x:v>LOC126268133</x:v>
      </x:c>
      <x:c r="B51" s="10" t="str">
        <x:v>1-phosphatidylinositol 4,5-bisphosphate phosphodiesterase gamma-1</x:v>
      </x:c>
      <x:c r="C51" s="19" t="str">
        <x:f>IF(COUNTIF('Colleague 115'!$A$2:$A$116,A51)&gt;0,"Yes","No")</x:f>
        <x:v>No</x:v>
      </x:c>
      <x:c r="D51" s="19" t="str">
        <x:f>IF(COUNTIF('Volcano 402'!$A$2:$A$403,A51)&gt;0,"Yes","No")</x:f>
        <x:v>Yes</x:v>
      </x:c>
      <x:c r="E51" s="19" t="str">
        <x:f>IF(COUNTIF('Heatmap 169'!$A$2:$A$170,A51)&gt;0,"Yes","No")</x:f>
        <x:v>No</x:v>
      </x:c>
      <x:c r="F51" s="19" t="n">
        <x:f>COUNTIF(C51:E51,"Yes")</x:f>
        <x:v>1</x:v>
      </x:c>
      <x:c r="G51" s="10" t="str">
        <x:f>IF(F51=3,"All three",IF(F51=2,IF(C51="No","Volcano + heatmap",IF(D51="No","Colleague + heatmap","Colleague + volcano")),IF(C51="Yes","Colleague only",IF(D51="Yes","Volcano only","Heatmap only"))))</x:f>
        <x:v>Volcano only</x:v>
      </x:c>
      <x:c r="H51" s="10" t="str"/>
      <x:c r="I51" s="10" t="str"/>
      <x:c r="J51" s="10" t="str">
        <x:v>Lipid synthesis / metabolism</x:v>
      </x:c>
      <x:c r="K51" s="10" t="str">
        <x:v>infection_diet50</x:v>
      </x:c>
      <x:c r="L51" s="10" t="str"/>
      <x:c r="M51" s="10" t="str"/>
      <x:c r="N51" s="10" t="str"/>
    </x:row>
    <x:row r="52">
      <x:c r="A52" s="10" t="str">
        <x:v>LOC126268198</x:v>
      </x:c>
      <x:c r="B52" s="10" t="str">
        <x:v>peroxisomal acyl-coenzyme A oxidase 3-like</x:v>
      </x:c>
      <x:c r="C52" s="19" t="str">
        <x:f>IF(COUNTIF('Colleague 115'!$A$2:$A$116,A52)&gt;0,"Yes","No")</x:f>
        <x:v>No</x:v>
      </x:c>
      <x:c r="D52" s="19" t="str">
        <x:f>IF(COUNTIF('Volcano 402'!$A$2:$A$403,A52)&gt;0,"Yes","No")</x:f>
        <x:v>Yes</x:v>
      </x:c>
      <x:c r="E52" s="19" t="str">
        <x:f>IF(COUNTIF('Heatmap 169'!$A$2:$A$170,A52)&gt;0,"Yes","No")</x:f>
        <x:v>No</x:v>
      </x:c>
      <x:c r="F52" s="19" t="n">
        <x:f>COUNTIF(C52:E52,"Yes")</x:f>
        <x:v>1</x:v>
      </x:c>
      <x:c r="G52" s="10" t="str">
        <x:f>IF(F52=3,"All three",IF(F52=2,IF(C52="No","Volcano + heatmap",IF(D52="No","Colleague + heatmap","Colleague + volcano")),IF(C52="Yes","Colleague only",IF(D52="Yes","Volcano only","Heatmap only"))))</x:f>
        <x:v>Volcano only</x:v>
      </x:c>
      <x:c r="H52" s="10" t="str"/>
      <x:c r="I52" s="10" t="str"/>
      <x:c r="J52" s="10" t="str">
        <x:v>Lipid synthesis / metabolism</x:v>
      </x:c>
      <x:c r="K52" s="10" t="str">
        <x:v>control_diet33_vs50; infection_diet33</x:v>
      </x:c>
      <x:c r="L52" s="10" t="str"/>
      <x:c r="M52" s="10" t="str"/>
      <x:c r="N52" s="10" t="str"/>
    </x:row>
    <x:row r="53">
      <x:c r="A53" s="10" t="str">
        <x:v>LOC126268397</x:v>
      </x:c>
      <x:c r="B53" s="10" t="str">
        <x:v>failed axon connections</x:v>
      </x:c>
      <x:c r="C53" s="19" t="str">
        <x:f>IF(COUNTIF('Colleague 115'!$A$2:$A$116,A53)&gt;0,"Yes","No")</x:f>
        <x:v>No</x:v>
      </x:c>
      <x:c r="D53" s="19" t="str">
        <x:f>IF(COUNTIF('Volcano 402'!$A$2:$A$403,A53)&gt;0,"Yes","No")</x:f>
        <x:v>Yes</x:v>
      </x:c>
      <x:c r="E53" s="19" t="str">
        <x:f>IF(COUNTIF('Heatmap 169'!$A$2:$A$170,A53)&gt;0,"Yes","No")</x:f>
        <x:v>No</x:v>
      </x:c>
      <x:c r="F53" s="19" t="n">
        <x:f>COUNTIF(C53:E53,"Yes")</x:f>
        <x:v>1</x:v>
      </x:c>
      <x:c r="G53" s="10" t="str">
        <x:f>IF(F53=3,"All three",IF(F53=2,IF(C53="No","Volcano + heatmap",IF(D53="No","Colleague + heatmap","Colleague + volcano")),IF(C53="Yes","Colleague only",IF(D53="Yes","Volcano only","Heatmap only"))))</x:f>
        <x:v>Volcano only</x:v>
      </x:c>
      <x:c r="H53" s="10" t="str"/>
      <x:c r="I53" s="10" t="str"/>
      <x:c r="J53" s="10" t="str">
        <x:v>Detoxification / stress</x:v>
      </x:c>
      <x:c r="K53" s="10" t="str">
        <x:v>infection_average_all_diets; infection_diet33; infection_diet50</x:v>
      </x:c>
      <x:c r="L53" s="10" t="str"/>
      <x:c r="M53" s="10" t="str"/>
      <x:c r="N53" s="10" t="str"/>
    </x:row>
    <x:row r="54">
      <x:c r="A54" s="10" t="str">
        <x:v>LOC126268518</x:v>
      </x:c>
      <x:c r="B54" s="10" t="str">
        <x:v>glutamine synthetase 2 cytoplasmic-like</x:v>
      </x:c>
      <x:c r="C54" s="19" t="str">
        <x:f>IF(COUNTIF('Colleague 115'!$A$2:$A$116,A54)&gt;0,"Yes","No")</x:f>
        <x:v>Yes</x:v>
      </x:c>
      <x:c r="D54" s="19" t="str">
        <x:f>IF(COUNTIF('Volcano 402'!$A$2:$A$403,A54)&gt;0,"Yes","No")</x:f>
        <x:v>No</x:v>
      </x:c>
      <x:c r="E54" s="19" t="str">
        <x:f>IF(COUNTIF('Heatmap 169'!$A$2:$A$170,A54)&gt;0,"Yes","No")</x:f>
        <x:v>No</x:v>
      </x:c>
      <x:c r="F54" s="19" t="n">
        <x:f>COUNTIF(C54:E54,"Yes")</x:f>
        <x:v>1</x:v>
      </x:c>
      <x:c r="G54" s="10" t="str">
        <x:f>IF(F54=3,"All three",IF(F54=2,IF(C54="No","Volcano + heatmap",IF(D54="No","Colleague + heatmap","Colleague + volcano")),IF(C54="Yes","Colleague only",IF(D54="Yes","Volcano only","Heatmap only"))))</x:f>
        <x:v>Colleague only</x:v>
      </x:c>
      <x:c r="H54" s="10" t="str">
        <x:v>Nitrogen, Amino Acid Transport &amp; Metabolism</x:v>
      </x:c>
      <x:c r="I54" s="10" t="str">
        <x:v>Amino Acid Biosynthesis &amp; Interconversion</x:v>
      </x:c>
      <x:c r="J54" s="10" t="str"/>
      <x:c r="K54" s="10" t="str"/>
      <x:c r="L54" s="10" t="str"/>
      <x:c r="M54" s="10" t="str"/>
      <x:c r="N54" s="10" t="str"/>
    </x:row>
    <x:row r="55">
      <x:c r="A55" s="10" t="str">
        <x:v>LOC126269044</x:v>
      </x:c>
      <x:c r="B55" s="10" t="str">
        <x:v>serine-rich adhesin for platelets-like</x:v>
      </x:c>
      <x:c r="C55" s="19" t="str">
        <x:f>IF(COUNTIF('Colleague 115'!$A$2:$A$116,A55)&gt;0,"Yes","No")</x:f>
        <x:v>No</x:v>
      </x:c>
      <x:c r="D55" s="19" t="str">
        <x:f>IF(COUNTIF('Volcano 402'!$A$2:$A$403,A55)&gt;0,"Yes","No")</x:f>
        <x:v>Yes</x:v>
      </x:c>
      <x:c r="E55" s="19" t="str">
        <x:f>IF(COUNTIF('Heatmap 169'!$A$2:$A$170,A55)&gt;0,"Yes","No")</x:f>
        <x:v>No</x:v>
      </x:c>
      <x:c r="F55" s="19" t="n">
        <x:f>COUNTIF(C55:E55,"Yes")</x:f>
        <x:v>1</x:v>
      </x:c>
      <x:c r="G55" s="10" t="str">
        <x:f>IF(F55=3,"All three",IF(F55=2,IF(C55="No","Volcano + heatmap",IF(D55="No","Colleague + heatmap","Colleague + volcano")),IF(C55="Yes","Colleague only",IF(D55="Yes","Volcano only","Heatmap only"))))</x:f>
        <x:v>Volcano only</x:v>
      </x:c>
      <x:c r="H55" s="10" t="str"/>
      <x:c r="I55" s="10" t="str"/>
      <x:c r="J55" s="10" t="str">
        <x:v>Immune-related</x:v>
      </x:c>
      <x:c r="K55" s="10" t="str">
        <x:v>infected_diet83_vs33; infected_diet83_vs50; infection_diet50</x:v>
      </x:c>
      <x:c r="L55" s="10" t="str"/>
      <x:c r="M55" s="10" t="str"/>
      <x:c r="N55" s="10" t="str"/>
    </x:row>
    <x:row r="56">
      <x:c r="A56" s="10" t="str">
        <x:v>LOC126269449</x:v>
      </x:c>
      <x:c r="B56" s="10" t="str">
        <x:v>Trypsin-like serine protease</x:v>
      </x:c>
      <x:c r="C56" s="19" t="str">
        <x:f>IF(COUNTIF('Colleague 115'!$A$2:$A$116,A56)&gt;0,"Yes","No")</x:f>
        <x:v>No</x:v>
      </x:c>
      <x:c r="D56" s="19" t="str">
        <x:f>IF(COUNTIF('Volcano 402'!$A$2:$A$403,A56)&gt;0,"Yes","No")</x:f>
        <x:v>No</x:v>
      </x:c>
      <x:c r="E56" s="19" t="str">
        <x:f>IF(COUNTIF('Heatmap 169'!$A$2:$A$170,A56)&gt;0,"Yes","No")</x:f>
        <x:v>Yes</x:v>
      </x:c>
      <x:c r="F56" s="19" t="n">
        <x:f>COUNTIF(C56:E56,"Yes")</x:f>
        <x:v>1</x:v>
      </x:c>
      <x:c r="G56" s="10" t="str">
        <x:f>IF(F56=3,"All three",IF(F56=2,IF(C56="No","Volcano + heatmap",IF(D56="No","Colleague + heatmap","Colleague + volcano")),IF(C56="Yes","Colleague only",IF(D56="Yes","Volcano only","Heatmap only"))))</x:f>
        <x:v>Heatmap only</x:v>
      </x:c>
      <x:c r="H56" s="10" t="str"/>
      <x:c r="I56" s="10" t="str"/>
      <x:c r="J56" s="10" t="str"/>
      <x:c r="K56" s="10" t="str"/>
      <x:c r="L56" s="10" t="str">
        <x:v>Functional candidate</x:v>
      </x:c>
      <x:c r="M56" s="10" t="str">
        <x:v>Nutrition/metabolism</x:v>
      </x:c>
      <x:c r="N56" s="10" t="str">
        <x:v>Not DEG</x:v>
      </x:c>
    </x:row>
    <x:row r="57">
      <x:c r="A57" s="10" t="str">
        <x:v>LOC126270294</x:v>
      </x:c>
      <x:c r="B57" s="10" t="str">
        <x:v>beta-1,3-glucan-binding protein-like</x:v>
      </x:c>
      <x:c r="C57" s="19" t="str">
        <x:f>IF(COUNTIF('Colleague 115'!$A$2:$A$116,A57)&gt;0,"Yes","No")</x:f>
        <x:v>No</x:v>
      </x:c>
      <x:c r="D57" s="19" t="str">
        <x:f>IF(COUNTIF('Volcano 402'!$A$2:$A$403,A57)&gt;0,"Yes","No")</x:f>
        <x:v>Yes</x:v>
      </x:c>
      <x:c r="E57" s="19" t="str">
        <x:f>IF(COUNTIF('Heatmap 169'!$A$2:$A$170,A57)&gt;0,"Yes","No")</x:f>
        <x:v>No</x:v>
      </x:c>
      <x:c r="F57" s="19" t="n">
        <x:f>COUNTIF(C57:E57,"Yes")</x:f>
        <x:v>1</x:v>
      </x:c>
      <x:c r="G57" s="10" t="str">
        <x:f>IF(F57=3,"All three",IF(F57=2,IF(C57="No","Volcano + heatmap",IF(D57="No","Colleague + heatmap","Colleague + volcano")),IF(C57="Yes","Colleague only",IF(D57="Yes","Volcano only","Heatmap only"))))</x:f>
        <x:v>Volcano only</x:v>
      </x:c>
      <x:c r="H57" s="10" t="str"/>
      <x:c r="I57" s="10" t="str"/>
      <x:c r="J57" s="10" t="str">
        <x:v>Immune-related</x:v>
      </x:c>
      <x:c r="K57" s="10" t="str">
        <x:v>infection_average_all_diets; infection_diet33; infection_diet50</x:v>
      </x:c>
      <x:c r="L57" s="10" t="str"/>
      <x:c r="M57" s="10" t="str"/>
      <x:c r="N57" s="10" t="str"/>
    </x:row>
    <x:row r="58">
      <x:c r="A58" s="10" t="str">
        <x:v>LOC126270657</x:v>
      </x:c>
      <x:c r="B58" s="10" t="str">
        <x:v>cytochrome P450 18a1</x:v>
      </x:c>
      <x:c r="C58" s="19" t="str">
        <x:f>IF(COUNTIF('Colleague 115'!$A$2:$A$116,A58)&gt;0,"Yes","No")</x:f>
        <x:v>No</x:v>
      </x:c>
      <x:c r="D58" s="19" t="str">
        <x:f>IF(COUNTIF('Volcano 402'!$A$2:$A$403,A58)&gt;0,"Yes","No")</x:f>
        <x:v>Yes</x:v>
      </x:c>
      <x:c r="E58" s="19" t="str">
        <x:f>IF(COUNTIF('Heatmap 169'!$A$2:$A$170,A58)&gt;0,"Yes","No")</x:f>
        <x:v>No</x:v>
      </x:c>
      <x:c r="F58" s="19" t="n">
        <x:f>COUNTIF(C58:E58,"Yes")</x:f>
        <x:v>1</x:v>
      </x:c>
      <x:c r="G58" s="10" t="str">
        <x:f>IF(F58=3,"All three",IF(F58=2,IF(C58="No","Volcano + heatmap",IF(D58="No","Colleague + heatmap","Colleague + volcano")),IF(C58="Yes","Colleague only",IF(D58="Yes","Volcano only","Heatmap only"))))</x:f>
        <x:v>Volcano only</x:v>
      </x:c>
      <x:c r="H58" s="10" t="str"/>
      <x:c r="I58" s="10" t="str"/>
      <x:c r="J58" s="10" t="str">
        <x:v>Detoxification / stress</x:v>
      </x:c>
      <x:c r="K58" s="10" t="str">
        <x:v>infection_average_all_diets; infection_diet50</x:v>
      </x:c>
      <x:c r="L58" s="10" t="str"/>
      <x:c r="M58" s="10" t="str"/>
      <x:c r="N58" s="10" t="str"/>
    </x:row>
    <x:row r="59">
      <x:c r="A59" s="10" t="str">
        <x:v>LOC126270956</x:v>
      </x:c>
      <x:c r="B59" s="10" t="str">
        <x:v>follistatin-related protein 5-like</x:v>
      </x:c>
      <x:c r="C59" s="19" t="str">
        <x:f>IF(COUNTIF('Colleague 115'!$A$2:$A$116,A59)&gt;0,"Yes","No")</x:f>
        <x:v>No</x:v>
      </x:c>
      <x:c r="D59" s="19" t="str">
        <x:f>IF(COUNTIF('Volcano 402'!$A$2:$A$403,A59)&gt;0,"Yes","No")</x:f>
        <x:v>Yes</x:v>
      </x:c>
      <x:c r="E59" s="19" t="str">
        <x:f>IF(COUNTIF('Heatmap 169'!$A$2:$A$170,A59)&gt;0,"Yes","No")</x:f>
        <x:v>No</x:v>
      </x:c>
      <x:c r="F59" s="19" t="n">
        <x:f>COUNTIF(C59:E59,"Yes")</x:f>
        <x:v>1</x:v>
      </x:c>
      <x:c r="G59" s="10" t="str">
        <x:f>IF(F59=3,"All three",IF(F59=2,IF(C59="No","Volcano + heatmap",IF(D59="No","Colleague + heatmap","Colleague + volcano")),IF(C59="Yes","Colleague only",IF(D59="Yes","Volcano only","Heatmap only"))))</x:f>
        <x:v>Volcano only</x:v>
      </x:c>
      <x:c r="H59" s="10" t="str"/>
      <x:c r="I59" s="10" t="str"/>
      <x:c r="J59" s="10" t="str">
        <x:v>Immune-related</x:v>
      </x:c>
      <x:c r="K59" s="10" t="str">
        <x:v>infection_diet50</x:v>
      </x:c>
      <x:c r="L59" s="10" t="str"/>
      <x:c r="M59" s="10" t="str"/>
      <x:c r="N59" s="10" t="str"/>
    </x:row>
    <x:row r="60">
      <x:c r="A60" s="10" t="str">
        <x:v>LOC126271634</x:v>
      </x:c>
      <x:c r="B60" s="10" t="str">
        <x:v>zinc metalloproteinase</x:v>
      </x:c>
      <x:c r="C60" s="19" t="str">
        <x:f>IF(COUNTIF('Colleague 115'!$A$2:$A$116,A60)&gt;0,"Yes","No")</x:f>
        <x:v>No</x:v>
      </x:c>
      <x:c r="D60" s="19" t="str">
        <x:f>IF(COUNTIF('Volcano 402'!$A$2:$A$403,A60)&gt;0,"Yes","No")</x:f>
        <x:v>No</x:v>
      </x:c>
      <x:c r="E60" s="19" t="str">
        <x:f>IF(COUNTIF('Heatmap 169'!$A$2:$A$170,A60)&gt;0,"Yes","No")</x:f>
        <x:v>Yes</x:v>
      </x:c>
      <x:c r="F60" s="19" t="n">
        <x:f>COUNTIF(C60:E60,"Yes")</x:f>
        <x:v>1</x:v>
      </x:c>
      <x:c r="G60" s="10" t="str">
        <x:f>IF(F60=3,"All three",IF(F60=2,IF(C60="No","Volcano + heatmap",IF(D60="No","Colleague + heatmap","Colleague + volcano")),IF(C60="Yes","Colleague only",IF(D60="Yes","Volcano only","Heatmap only"))))</x:f>
        <x:v>Heatmap only</x:v>
      </x:c>
      <x:c r="H60" s="10" t="str"/>
      <x:c r="I60" s="10" t="str"/>
      <x:c r="J60" s="10" t="str"/>
      <x:c r="K60" s="10" t="str"/>
      <x:c r="L60" s="10" t="str">
        <x:v>Top DEG</x:v>
      </x:c>
      <x:c r="M60" s="10" t="str">
        <x:v>Other strong DEG</x:v>
      </x:c>
      <x:c r="N60" s="10" t="str">
        <x:v>DEG</x:v>
      </x:c>
    </x:row>
    <x:row r="61">
      <x:c r="A61" s="10" t="str">
        <x:v>LOC126271905</x:v>
      </x:c>
      <x:c r="B61" s="10" t="str">
        <x:v>cytochrome P450 6k1-like</x:v>
      </x:c>
      <x:c r="C61" s="19" t="str">
        <x:f>IF(COUNTIF('Colleague 115'!$A$2:$A$116,A61)&gt;0,"Yes","No")</x:f>
        <x:v>No</x:v>
      </x:c>
      <x:c r="D61" s="19" t="str">
        <x:f>IF(COUNTIF('Volcano 402'!$A$2:$A$403,A61)&gt;0,"Yes","No")</x:f>
        <x:v>Yes</x:v>
      </x:c>
      <x:c r="E61" s="19" t="str">
        <x:f>IF(COUNTIF('Heatmap 169'!$A$2:$A$170,A61)&gt;0,"Yes","No")</x:f>
        <x:v>No</x:v>
      </x:c>
      <x:c r="F61" s="19" t="n">
        <x:f>COUNTIF(C61:E61,"Yes")</x:f>
        <x:v>1</x:v>
      </x:c>
      <x:c r="G61" s="10" t="str">
        <x:f>IF(F61=3,"All three",IF(F61=2,IF(C61="No","Volcano + heatmap",IF(D61="No","Colleague + heatmap","Colleague + volcano")),IF(C61="Yes","Colleague only",IF(D61="Yes","Volcano only","Heatmap only"))))</x:f>
        <x:v>Volcano only</x:v>
      </x:c>
      <x:c r="H61" s="10" t="str"/>
      <x:c r="I61" s="10" t="str"/>
      <x:c r="J61" s="10" t="str">
        <x:v>Detoxification / stress</x:v>
      </x:c>
      <x:c r="K61" s="10" t="str">
        <x:v>infection_diet33</x:v>
      </x:c>
      <x:c r="L61" s="10" t="str"/>
      <x:c r="M61" s="10" t="str"/>
      <x:c r="N61" s="10" t="str"/>
    </x:row>
    <x:row r="62">
      <x:c r="A62" s="10" t="str">
        <x:v>LOC126271907</x:v>
      </x:c>
      <x:c r="B62" s="10" t="str">
        <x:v>cytochrome P450 6k1-like</x:v>
      </x:c>
      <x:c r="C62" s="19" t="str">
        <x:f>IF(COUNTIF('Colleague 115'!$A$2:$A$116,A62)&gt;0,"Yes","No")</x:f>
        <x:v>No</x:v>
      </x:c>
      <x:c r="D62" s="19" t="str">
        <x:f>IF(COUNTIF('Volcano 402'!$A$2:$A$403,A62)&gt;0,"Yes","No")</x:f>
        <x:v>Yes</x:v>
      </x:c>
      <x:c r="E62" s="19" t="str">
        <x:f>IF(COUNTIF('Heatmap 169'!$A$2:$A$170,A62)&gt;0,"Yes","No")</x:f>
        <x:v>No</x:v>
      </x:c>
      <x:c r="F62" s="19" t="n">
        <x:f>COUNTIF(C62:E62,"Yes")</x:f>
        <x:v>1</x:v>
      </x:c>
      <x:c r="G62" s="10" t="str">
        <x:f>IF(F62=3,"All three",IF(F62=2,IF(C62="No","Volcano + heatmap",IF(D62="No","Colleague + heatmap","Colleague + volcano")),IF(C62="Yes","Colleague only",IF(D62="Yes","Volcano only","Heatmap only"))))</x:f>
        <x:v>Volcano only</x:v>
      </x:c>
      <x:c r="H62" s="10" t="str"/>
      <x:c r="I62" s="10" t="str"/>
      <x:c r="J62" s="10" t="str">
        <x:v>Detoxification / stress</x:v>
      </x:c>
      <x:c r="K62" s="10" t="str">
        <x:v>infected_diet83_vs33; infection_diet33</x:v>
      </x:c>
      <x:c r="L62" s="10" t="str"/>
      <x:c r="M62" s="10" t="str"/>
      <x:c r="N62" s="10" t="str"/>
    </x:row>
    <x:row r="63">
      <x:c r="A63" s="10" t="str">
        <x:v>LOC126271908</x:v>
      </x:c>
      <x:c r="B63" s="10" t="str">
        <x:v>cytochrome P450 6k1-like</x:v>
      </x:c>
      <x:c r="C63" s="19" t="str">
        <x:f>IF(COUNTIF('Colleague 115'!$A$2:$A$116,A63)&gt;0,"Yes","No")</x:f>
        <x:v>No</x:v>
      </x:c>
      <x:c r="D63" s="19" t="str">
        <x:f>IF(COUNTIF('Volcano 402'!$A$2:$A$403,A63)&gt;0,"Yes","No")</x:f>
        <x:v>Yes</x:v>
      </x:c>
      <x:c r="E63" s="19" t="str">
        <x:f>IF(COUNTIF('Heatmap 169'!$A$2:$A$170,A63)&gt;0,"Yes","No")</x:f>
        <x:v>No</x:v>
      </x:c>
      <x:c r="F63" s="19" t="n">
        <x:f>COUNTIF(C63:E63,"Yes")</x:f>
        <x:v>1</x:v>
      </x:c>
      <x:c r="G63" s="10" t="str">
        <x:f>IF(F63=3,"All three",IF(F63=2,IF(C63="No","Volcano + heatmap",IF(D63="No","Colleague + heatmap","Colleague + volcano")),IF(C63="Yes","Colleague only",IF(D63="Yes","Volcano only","Heatmap only"))))</x:f>
        <x:v>Volcano only</x:v>
      </x:c>
      <x:c r="H63" s="10" t="str"/>
      <x:c r="I63" s="10" t="str"/>
      <x:c r="J63" s="10" t="str">
        <x:v>Detoxification / stress</x:v>
      </x:c>
      <x:c r="K63" s="10" t="str">
        <x:v>infection_diet50</x:v>
      </x:c>
      <x:c r="L63" s="10" t="str"/>
      <x:c r="M63" s="10" t="str"/>
      <x:c r="N63" s="10" t="str"/>
    </x:row>
    <x:row r="64">
      <x:c r="A64" s="10" t="str">
        <x:v>LOC126271919</x:v>
      </x:c>
      <x:c r="B64" s="10" t="str">
        <x:v>glycerophosphocholine phosphodiesterase GPCPD1-like</x:v>
      </x:c>
      <x:c r="C64" s="19" t="str">
        <x:f>IF(COUNTIF('Colleague 115'!$A$2:$A$116,A64)&gt;0,"Yes","No")</x:f>
        <x:v>No</x:v>
      </x:c>
      <x:c r="D64" s="19" t="str">
        <x:f>IF(COUNTIF('Volcano 402'!$A$2:$A$403,A64)&gt;0,"Yes","No")</x:f>
        <x:v>Yes</x:v>
      </x:c>
      <x:c r="E64" s="19" t="str">
        <x:f>IF(COUNTIF('Heatmap 169'!$A$2:$A$170,A64)&gt;0,"Yes","No")</x:f>
        <x:v>No</x:v>
      </x:c>
      <x:c r="F64" s="19" t="n">
        <x:f>COUNTIF(C64:E64,"Yes")</x:f>
        <x:v>1</x:v>
      </x:c>
      <x:c r="G64" s="10" t="str">
        <x:f>IF(F64=3,"All three",IF(F64=2,IF(C64="No","Volcano + heatmap",IF(D64="No","Colleague + heatmap","Colleague + volcano")),IF(C64="Yes","Colleague only",IF(D64="Yes","Volcano only","Heatmap only"))))</x:f>
        <x:v>Volcano only</x:v>
      </x:c>
      <x:c r="H64" s="10" t="str"/>
      <x:c r="I64" s="10" t="str"/>
      <x:c r="J64" s="10" t="str">
        <x:v>Glycogen synthesis / storage</x:v>
      </x:c>
      <x:c r="K64" s="10" t="str">
        <x:v>infection_diet33</x:v>
      </x:c>
      <x:c r="L64" s="10" t="str"/>
      <x:c r="M64" s="10" t="str"/>
      <x:c r="N64" s="10" t="str"/>
    </x:row>
    <x:row r="65">
      <x:c r="A65" s="10" t="str">
        <x:v>LOC126271975</x:v>
      </x:c>
      <x:c r="B65" s="10" t="str">
        <x:v>lysozyme-like</x:v>
      </x:c>
      <x:c r="C65" s="19" t="str">
        <x:f>IF(COUNTIF('Colleague 115'!$A$2:$A$116,A65)&gt;0,"Yes","No")</x:f>
        <x:v>Yes</x:v>
      </x:c>
      <x:c r="D65" s="19" t="str">
        <x:f>IF(COUNTIF('Volcano 402'!$A$2:$A$403,A65)&gt;0,"Yes","No")</x:f>
        <x:v>Yes</x:v>
      </x:c>
      <x:c r="E65" s="19" t="str">
        <x:f>IF(COUNTIF('Heatmap 169'!$A$2:$A$170,A65)&gt;0,"Yes","No")</x:f>
        <x:v>Yes</x:v>
      </x:c>
      <x:c r="F65" s="19" t="n">
        <x:f>COUNTIF(C65:E65,"Yes")</x:f>
        <x:v>3</x:v>
      </x:c>
      <x:c r="G65" s="10" t="str">
        <x:f>IF(F65=3,"All three",IF(F65=2,IF(C65="No","Volcano + heatmap",IF(D65="No","Colleague + heatmap","Colleague + volcano")),IF(C65="Yes","Colleague only",IF(D65="Yes","Volcano only","Heatmap only"))))</x:f>
        <x:v>All three</x:v>
      </x:c>
      <x:c r="H65" s="10" t="str">
        <x:v>Humoral Immunity</x:v>
      </x:c>
      <x:c r="I65" s="10" t="str">
        <x:v>Antimicrobial Peptides (AMPs)</x:v>
      </x:c>
      <x:c r="J65" s="10" t="str">
        <x:v>Antimicrobial peptides</x:v>
      </x:c>
      <x:c r="K65" s="10" t="str">
        <x:v>infection_average_all_diets; infection_diet33; infection_diet50; infection_diet83</x:v>
      </x:c>
      <x:c r="L65" s="10" t="str">
        <x:v>Functional candidate</x:v>
      </x:c>
      <x:c r="M65" s="10" t="str">
        <x:v>Immune-related</x:v>
      </x:c>
      <x:c r="N65" s="10" t="str">
        <x:v>DEG</x:v>
      </x:c>
    </x:row>
    <x:row r="66">
      <x:c r="A66" s="10" t="str">
        <x:v>LOC126271991</x:v>
      </x:c>
      <x:c r="B66" s="10" t="str">
        <x:v>protein MTSS 2</x:v>
      </x:c>
      <x:c r="C66" s="19" t="str">
        <x:f>IF(COUNTIF('Colleague 115'!$A$2:$A$116,A66)&gt;0,"Yes","No")</x:f>
        <x:v>No</x:v>
      </x:c>
      <x:c r="D66" s="19" t="str">
        <x:f>IF(COUNTIF('Volcano 402'!$A$2:$A$403,A66)&gt;0,"Yes","No")</x:f>
        <x:v>Yes</x:v>
      </x:c>
      <x:c r="E66" s="19" t="str">
        <x:f>IF(COUNTIF('Heatmap 169'!$A$2:$A$170,A66)&gt;0,"Yes","No")</x:f>
        <x:v>No</x:v>
      </x:c>
      <x:c r="F66" s="19" t="n">
        <x:f>COUNTIF(C66:E66,"Yes")</x:f>
        <x:v>1</x:v>
      </x:c>
      <x:c r="G66" s="10" t="str">
        <x:f>IF(F66=3,"All three",IF(F66=2,IF(C66="No","Volcano + heatmap",IF(D66="No","Colleague + heatmap","Colleague + volcano")),IF(C66="Yes","Colleague only",IF(D66="Yes","Volcano only","Heatmap only"))))</x:f>
        <x:v>Volcano only</x:v>
      </x:c>
      <x:c r="H66" s="10" t="str"/>
      <x:c r="I66" s="10" t="str"/>
      <x:c r="J66" s="10" t="str">
        <x:v>Immune-related</x:v>
      </x:c>
      <x:c r="K66" s="10" t="str">
        <x:v>infection_diet50</x:v>
      </x:c>
      <x:c r="L66" s="10" t="str"/>
      <x:c r="M66" s="10" t="str"/>
      <x:c r="N66" s="10" t="str"/>
    </x:row>
    <x:row r="67">
      <x:c r="A67" s="10" t="str">
        <x:v>LOC126272038</x:v>
      </x:c>
      <x:c r="B67" s="10" t="str">
        <x:v>protein VAC14 homolog</x:v>
      </x:c>
      <x:c r="C67" s="19" t="str">
        <x:f>IF(COUNTIF('Colleague 115'!$A$2:$A$116,A67)&gt;0,"Yes","No")</x:f>
        <x:v>No</x:v>
      </x:c>
      <x:c r="D67" s="19" t="str">
        <x:f>IF(COUNTIF('Volcano 402'!$A$2:$A$403,A67)&gt;0,"Yes","No")</x:f>
        <x:v>Yes</x:v>
      </x:c>
      <x:c r="E67" s="19" t="str">
        <x:f>IF(COUNTIF('Heatmap 169'!$A$2:$A$170,A67)&gt;0,"Yes","No")</x:f>
        <x:v>No</x:v>
      </x:c>
      <x:c r="F67" s="19" t="n">
        <x:f>COUNTIF(C67:E67,"Yes")</x:f>
        <x:v>1</x:v>
      </x:c>
      <x:c r="G67" s="10" t="str">
        <x:f>IF(F67=3,"All three",IF(F67=2,IF(C67="No","Volcano + heatmap",IF(D67="No","Colleague + heatmap","Colleague + volcano")),IF(C67="Yes","Colleague only",IF(D67="Yes","Volcano only","Heatmap only"))))</x:f>
        <x:v>Volcano only</x:v>
      </x:c>
      <x:c r="H67" s="10" t="str"/>
      <x:c r="I67" s="10" t="str"/>
      <x:c r="J67" s="10" t="str">
        <x:v>Lipid synthesis / metabolism</x:v>
      </x:c>
      <x:c r="K67" s="10" t="str">
        <x:v>infection_average_all_diets; infection_diet33; infection_diet50; infection_diet83</x:v>
      </x:c>
      <x:c r="L67" s="10" t="str"/>
      <x:c r="M67" s="10" t="str"/>
      <x:c r="N67" s="10" t="str"/>
    </x:row>
    <x:row r="68">
      <x:c r="A68" s="10" t="str">
        <x:v>LOC126272094</x:v>
      </x:c>
      <x:c r="B68" s="10" t="str">
        <x:v>ribosome-binding protein 1</x:v>
      </x:c>
      <x:c r="C68" s="19" t="str">
        <x:f>IF(COUNTIF('Colleague 115'!$A$2:$A$116,A68)&gt;0,"Yes","No")</x:f>
        <x:v>Yes</x:v>
      </x:c>
      <x:c r="D68" s="19" t="str">
        <x:f>IF(COUNTIF('Volcano 402'!$A$2:$A$403,A68)&gt;0,"Yes","No")</x:f>
        <x:v>Yes</x:v>
      </x:c>
      <x:c r="E68" s="19" t="str">
        <x:f>IF(COUNTIF('Heatmap 169'!$A$2:$A$170,A68)&gt;0,"Yes","No")</x:f>
        <x:v>No</x:v>
      </x:c>
      <x:c r="F68" s="19" t="n">
        <x:f>COUNTIF(C68:E68,"Yes")</x:f>
        <x:v>2</x:v>
      </x:c>
      <x:c r="G68" s="10" t="str">
        <x:f>IF(F68=3,"All three",IF(F68=2,IF(C68="No","Volcano + heatmap",IF(D68="No","Colleague + heatmap","Colleague + volcano")),IF(C68="Yes","Colleague only",IF(D68="Yes","Volcano only","Heatmap only"))))</x:f>
        <x:v>Colleague + volcano</x:v>
      </x:c>
      <x:c r="H68" s="10" t="str">
        <x:v>Protein Synthesis &amp; Translation</x:v>
      </x:c>
      <x:c r="I68" s="10" t="str">
        <x:v>Ribosomal Structural Proteins &amp; Biogenesis</x:v>
      </x:c>
      <x:c r="J68" s="10" t="str">
        <x:v>Protein synthesis / storage</x:v>
      </x:c>
      <x:c r="K68" s="10" t="str">
        <x:v>infection_diet50</x:v>
      </x:c>
      <x:c r="L68" s="10" t="str"/>
      <x:c r="M68" s="10" t="str"/>
      <x:c r="N68" s="10" t="str"/>
    </x:row>
    <x:row r="69">
      <x:c r="A69" s="10" t="str">
        <x:v>LOC126272096</x:v>
      </x:c>
      <x:c r="B69" s="10" t="str">
        <x:v>fatty acid synthase-like</x:v>
      </x:c>
      <x:c r="C69" s="19" t="str">
        <x:f>IF(COUNTIF('Colleague 115'!$A$2:$A$116,A69)&gt;0,"Yes","No")</x:f>
        <x:v>No</x:v>
      </x:c>
      <x:c r="D69" s="19" t="str">
        <x:f>IF(COUNTIF('Volcano 402'!$A$2:$A$403,A69)&gt;0,"Yes","No")</x:f>
        <x:v>Yes</x:v>
      </x:c>
      <x:c r="E69" s="19" t="str">
        <x:f>IF(COUNTIF('Heatmap 169'!$A$2:$A$170,A69)&gt;0,"Yes","No")</x:f>
        <x:v>No</x:v>
      </x:c>
      <x:c r="F69" s="19" t="n">
        <x:f>COUNTIF(C69:E69,"Yes")</x:f>
        <x:v>1</x:v>
      </x:c>
      <x:c r="G69" s="10" t="str">
        <x:f>IF(F69=3,"All three",IF(F69=2,IF(C69="No","Volcano + heatmap",IF(D69="No","Colleague + heatmap","Colleague + volcano")),IF(C69="Yes","Colleague only",IF(D69="Yes","Volcano only","Heatmap only"))))</x:f>
        <x:v>Volcano only</x:v>
      </x:c>
      <x:c r="H69" s="10" t="str"/>
      <x:c r="I69" s="10" t="str"/>
      <x:c r="J69" s="10" t="str">
        <x:v>Lipid synthesis / metabolism</x:v>
      </x:c>
      <x:c r="K69" s="10" t="str">
        <x:v>infected_diet83_vs33; infection_diet50</x:v>
      </x:c>
      <x:c r="L69" s="10" t="str"/>
      <x:c r="M69" s="10" t="str"/>
      <x:c r="N69" s="10" t="str"/>
    </x:row>
    <x:row r="70">
      <x:c r="A70" s="10" t="str">
        <x:v>LOC126272143</x:v>
      </x:c>
      <x:c r="B70" s="10" t="str">
        <x:v>cytochrome p450</x:v>
      </x:c>
      <x:c r="C70" s="19" t="str">
        <x:f>IF(COUNTIF('Colleague 115'!$A$2:$A$116,A70)&gt;0,"Yes","No")</x:f>
        <x:v>No</x:v>
      </x:c>
      <x:c r="D70" s="19" t="str">
        <x:f>IF(COUNTIF('Volcano 402'!$A$2:$A$403,A70)&gt;0,"Yes","No")</x:f>
        <x:v>No</x:v>
      </x:c>
      <x:c r="E70" s="19" t="str">
        <x:f>IF(COUNTIF('Heatmap 169'!$A$2:$A$170,A70)&gt;0,"Yes","No")</x:f>
        <x:v>Yes</x:v>
      </x:c>
      <x:c r="F70" s="19" t="n">
        <x:f>COUNTIF(C70:E70,"Yes")</x:f>
        <x:v>1</x:v>
      </x:c>
      <x:c r="G70" s="10" t="str">
        <x:f>IF(F70=3,"All three",IF(F70=2,IF(C70="No","Volcano + heatmap",IF(D70="No","Colleague + heatmap","Colleague + volcano")),IF(C70="Yes","Colleague only",IF(D70="Yes","Volcano only","Heatmap only"))))</x:f>
        <x:v>Heatmap only</x:v>
      </x:c>
      <x:c r="H70" s="10" t="str"/>
      <x:c r="I70" s="10" t="str"/>
      <x:c r="J70" s="10" t="str"/>
      <x:c r="K70" s="10" t="str"/>
      <x:c r="L70" s="10" t="str">
        <x:v>Functional candidate</x:v>
      </x:c>
      <x:c r="M70" s="10" t="str">
        <x:v>Detoxification/stress</x:v>
      </x:c>
      <x:c r="N70" s="10" t="str">
        <x:v>Not DEG</x:v>
      </x:c>
    </x:row>
    <x:row r="71">
      <x:c r="A71" s="10" t="str">
        <x:v>LOC126272144</x:v>
      </x:c>
      <x:c r="B71" s="10" t="str">
        <x:v>cytochrome P450 6k1-like</x:v>
      </x:c>
      <x:c r="C71" s="19" t="str">
        <x:f>IF(COUNTIF('Colleague 115'!$A$2:$A$116,A71)&gt;0,"Yes","No")</x:f>
        <x:v>No</x:v>
      </x:c>
      <x:c r="D71" s="19" t="str">
        <x:f>IF(COUNTIF('Volcano 402'!$A$2:$A$403,A71)&gt;0,"Yes","No")</x:f>
        <x:v>Yes</x:v>
      </x:c>
      <x:c r="E71" s="19" t="str">
        <x:f>IF(COUNTIF('Heatmap 169'!$A$2:$A$170,A71)&gt;0,"Yes","No")</x:f>
        <x:v>Yes</x:v>
      </x:c>
      <x:c r="F71" s="19" t="n">
        <x:f>COUNTIF(C71:E71,"Yes")</x:f>
        <x:v>2</x:v>
      </x:c>
      <x:c r="G71" s="10" t="str">
        <x:f>IF(F71=3,"All three",IF(F71=2,IF(C71="No","Volcano + heatmap",IF(D71="No","Colleague + heatmap","Colleague + volcano")),IF(C71="Yes","Colleague only",IF(D71="Yes","Volcano only","Heatmap only"))))</x:f>
        <x:v>Volcano + heatmap</x:v>
      </x:c>
      <x:c r="H71" s="10" t="str"/>
      <x:c r="I71" s="10" t="str"/>
      <x:c r="J71" s="10" t="str">
        <x:v>Detoxification / stress</x:v>
      </x:c>
      <x:c r="K71" s="10" t="str">
        <x:v>infected_diet33_vs50; infection_average_all_diets; infection_diet33</x:v>
      </x:c>
      <x:c r="L71" s="10" t="str">
        <x:v>Functional candidate</x:v>
      </x:c>
      <x:c r="M71" s="10" t="str">
        <x:v>Detoxification/stress</x:v>
      </x:c>
      <x:c r="N71" s="10" t="str">
        <x:v>DEG</x:v>
      </x:c>
    </x:row>
    <x:row r="72">
      <x:c r="A72" s="10" t="str">
        <x:v>LOC126272145</x:v>
      </x:c>
      <x:c r="B72" s="10" t="str">
        <x:v>probable cytochrome P450 6a14</x:v>
      </x:c>
      <x:c r="C72" s="19" t="str">
        <x:f>IF(COUNTIF('Colleague 115'!$A$2:$A$116,A72)&gt;0,"Yes","No")</x:f>
        <x:v>No</x:v>
      </x:c>
      <x:c r="D72" s="19" t="str">
        <x:f>IF(COUNTIF('Volcano 402'!$A$2:$A$403,A72)&gt;0,"Yes","No")</x:f>
        <x:v>Yes</x:v>
      </x:c>
      <x:c r="E72" s="19" t="str">
        <x:f>IF(COUNTIF('Heatmap 169'!$A$2:$A$170,A72)&gt;0,"Yes","No")</x:f>
        <x:v>No</x:v>
      </x:c>
      <x:c r="F72" s="19" t="n">
        <x:f>COUNTIF(C72:E72,"Yes")</x:f>
        <x:v>1</x:v>
      </x:c>
      <x:c r="G72" s="10" t="str">
        <x:f>IF(F72=3,"All three",IF(F72=2,IF(C72="No","Volcano + heatmap",IF(D72="No","Colleague + heatmap","Colleague + volcano")),IF(C72="Yes","Colleague only",IF(D72="Yes","Volcano only","Heatmap only"))))</x:f>
        <x:v>Volcano only</x:v>
      </x:c>
      <x:c r="H72" s="10" t="str"/>
      <x:c r="I72" s="10" t="str"/>
      <x:c r="J72" s="10" t="str">
        <x:v>Detoxification / stress</x:v>
      </x:c>
      <x:c r="K72" s="10" t="str">
        <x:v>infection_average_all_diets</x:v>
      </x:c>
      <x:c r="L72" s="10" t="str"/>
      <x:c r="M72" s="10" t="str"/>
      <x:c r="N72" s="10" t="str"/>
    </x:row>
    <x:row r="73">
      <x:c r="A73" s="10" t="str">
        <x:v>LOC126272268</x:v>
      </x:c>
      <x:c r="B73" s="10" t="str">
        <x:v>Belongs to the major facilitator superfamily. Sugar transporter (TC 2.A.1.1) family</x:v>
      </x:c>
      <x:c r="C73" s="19" t="str">
        <x:f>IF(COUNTIF('Colleague 115'!$A$2:$A$116,A73)&gt;0,"Yes","No")</x:f>
        <x:v>No</x:v>
      </x:c>
      <x:c r="D73" s="19" t="str">
        <x:f>IF(COUNTIF('Volcano 402'!$A$2:$A$403,A73)&gt;0,"Yes","No")</x:f>
        <x:v>No</x:v>
      </x:c>
      <x:c r="E73" s="19" t="str">
        <x:f>IF(COUNTIF('Heatmap 169'!$A$2:$A$170,A73)&gt;0,"Yes","No")</x:f>
        <x:v>Yes</x:v>
      </x:c>
      <x:c r="F73" s="19" t="n">
        <x:f>COUNTIF(C73:E73,"Yes")</x:f>
        <x:v>1</x:v>
      </x:c>
      <x:c r="G73" s="10" t="str">
        <x:f>IF(F73=3,"All three",IF(F73=2,IF(C73="No","Volcano + heatmap",IF(D73="No","Colleague + heatmap","Colleague + volcano")),IF(C73="Yes","Colleague only",IF(D73="Yes","Volcano only","Heatmap only"))))</x:f>
        <x:v>Heatmap only</x:v>
      </x:c>
      <x:c r="H73" s="10" t="str"/>
      <x:c r="I73" s="10" t="str"/>
      <x:c r="J73" s="10" t="str"/>
      <x:c r="K73" s="10" t="str"/>
      <x:c r="L73" s="10" t="str">
        <x:v>Functional candidate</x:v>
      </x:c>
      <x:c r="M73" s="10" t="str">
        <x:v>Nutrition/metabolism</x:v>
      </x:c>
      <x:c r="N73" s="10" t="str">
        <x:v>Not DEG</x:v>
      </x:c>
    </x:row>
    <x:row r="74">
      <x:c r="A74" s="10" t="str">
        <x:v>LOC126272273</x:v>
      </x:c>
      <x:c r="B74" s="10" t="str">
        <x:v>probable cytochrome P450 304a1</x:v>
      </x:c>
      <x:c r="C74" s="19" t="str">
        <x:f>IF(COUNTIF('Colleague 115'!$A$2:$A$116,A74)&gt;0,"Yes","No")</x:f>
        <x:v>No</x:v>
      </x:c>
      <x:c r="D74" s="19" t="str">
        <x:f>IF(COUNTIF('Volcano 402'!$A$2:$A$403,A74)&gt;0,"Yes","No")</x:f>
        <x:v>Yes</x:v>
      </x:c>
      <x:c r="E74" s="19" t="str">
        <x:f>IF(COUNTIF('Heatmap 169'!$A$2:$A$170,A74)&gt;0,"Yes","No")</x:f>
        <x:v>Yes</x:v>
      </x:c>
      <x:c r="F74" s="19" t="n">
        <x:f>COUNTIF(C74:E74,"Yes")</x:f>
        <x:v>2</x:v>
      </x:c>
      <x:c r="G74" s="10" t="str">
        <x:f>IF(F74=3,"All three",IF(F74=2,IF(C74="No","Volcano + heatmap",IF(D74="No","Colleague + heatmap","Colleague + volcano")),IF(C74="Yes","Colleague only",IF(D74="Yes","Volcano only","Heatmap only"))))</x:f>
        <x:v>Volcano + heatmap</x:v>
      </x:c>
      <x:c r="H74" s="10" t="str"/>
      <x:c r="I74" s="10" t="str"/>
      <x:c r="J74" s="10" t="str">
        <x:v>Detoxification / stress</x:v>
      </x:c>
      <x:c r="K74" s="10" t="str">
        <x:v>infected_diet83_vs50; infection_average_all_diets; infection_diet50</x:v>
      </x:c>
      <x:c r="L74" s="10" t="str">
        <x:v>Functional candidate</x:v>
      </x:c>
      <x:c r="M74" s="10" t="str">
        <x:v>Detoxification/stress</x:v>
      </x:c>
      <x:c r="N74" s="10" t="str">
        <x:v>DEG</x:v>
      </x:c>
    </x:row>
    <x:row r="75">
      <x:c r="A75" s="10" t="str">
        <x:v>LOC126272290</x:v>
      </x:c>
      <x:c r="B75" s="10" t="str">
        <x:v>Hydrolase activity, acting on carbon-nitrogen (but not peptide) bonds, in linear amides. It is involved in the biological process described with nitrogen compound metabolic process</x:v>
      </x:c>
      <x:c r="C75" s="19" t="str">
        <x:f>IF(COUNTIF('Colleague 115'!$A$2:$A$116,A75)&gt;0,"Yes","No")</x:f>
        <x:v>No</x:v>
      </x:c>
      <x:c r="D75" s="19" t="str">
        <x:f>IF(COUNTIF('Volcano 402'!$A$2:$A$403,A75)&gt;0,"Yes","No")</x:f>
        <x:v>No</x:v>
      </x:c>
      <x:c r="E75" s="19" t="str">
        <x:f>IF(COUNTIF('Heatmap 169'!$A$2:$A$170,A75)&gt;0,"Yes","No")</x:f>
        <x:v>Yes</x:v>
      </x:c>
      <x:c r="F75" s="19" t="n">
        <x:f>COUNTIF(C75:E75,"Yes")</x:f>
        <x:v>1</x:v>
      </x:c>
      <x:c r="G75" s="10" t="str">
        <x:f>IF(F75=3,"All three",IF(F75=2,IF(C75="No","Volcano + heatmap",IF(D75="No","Colleague + heatmap","Colleague + volcano")),IF(C75="Yes","Colleague only",IF(D75="Yes","Volcano only","Heatmap only"))))</x:f>
        <x:v>Heatmap only</x:v>
      </x:c>
      <x:c r="H75" s="10" t="str"/>
      <x:c r="I75" s="10" t="str"/>
      <x:c r="J75" s="10" t="str"/>
      <x:c r="K75" s="10" t="str"/>
      <x:c r="L75" s="10" t="str">
        <x:v>Functional candidate</x:v>
      </x:c>
      <x:c r="M75" s="10" t="str">
        <x:v>Nutrition/metabolism</x:v>
      </x:c>
      <x:c r="N75" s="10" t="str">
        <x:v>DEG</x:v>
      </x:c>
    </x:row>
    <x:row r="76">
      <x:c r="A76" s="10" t="str">
        <x:v>LOC126272296</x:v>
      </x:c>
      <x:c r="B76" s="10" t="str">
        <x:v>cytochrome P450 6k1-like</x:v>
      </x:c>
      <x:c r="C76" s="19" t="str">
        <x:f>IF(COUNTIF('Colleague 115'!$A$2:$A$116,A76)&gt;0,"Yes","No")</x:f>
        <x:v>No</x:v>
      </x:c>
      <x:c r="D76" s="19" t="str">
        <x:f>IF(COUNTIF('Volcano 402'!$A$2:$A$403,A76)&gt;0,"Yes","No")</x:f>
        <x:v>Yes</x:v>
      </x:c>
      <x:c r="E76" s="19" t="str">
        <x:f>IF(COUNTIF('Heatmap 169'!$A$2:$A$170,A76)&gt;0,"Yes","No")</x:f>
        <x:v>No</x:v>
      </x:c>
      <x:c r="F76" s="19" t="n">
        <x:f>COUNTIF(C76:E76,"Yes")</x:f>
        <x:v>1</x:v>
      </x:c>
      <x:c r="G76" s="10" t="str">
        <x:f>IF(F76=3,"All three",IF(F76=2,IF(C76="No","Volcano + heatmap",IF(D76="No","Colleague + heatmap","Colleague + volcano")),IF(C76="Yes","Colleague only",IF(D76="Yes","Volcano only","Heatmap only"))))</x:f>
        <x:v>Volcano only</x:v>
      </x:c>
      <x:c r="H76" s="10" t="str"/>
      <x:c r="I76" s="10" t="str"/>
      <x:c r="J76" s="10" t="str">
        <x:v>Detoxification / stress</x:v>
      </x:c>
      <x:c r="K76" s="10" t="str">
        <x:v>infection_average_all_diets; infection_diet50</x:v>
      </x:c>
      <x:c r="L76" s="10" t="str"/>
      <x:c r="M76" s="10" t="str"/>
      <x:c r="N76" s="10" t="str"/>
    </x:row>
    <x:row r="77">
      <x:c r="A77" s="10" t="str">
        <x:v>LOC126272319</x:v>
      </x:c>
      <x:c r="B77" s="10" t="str">
        <x:v>cytochrome P450 6k1-like</x:v>
      </x:c>
      <x:c r="C77" s="19" t="str">
        <x:f>IF(COUNTIF('Colleague 115'!$A$2:$A$116,A77)&gt;0,"Yes","No")</x:f>
        <x:v>No</x:v>
      </x:c>
      <x:c r="D77" s="19" t="str">
        <x:f>IF(COUNTIF('Volcano 402'!$A$2:$A$403,A77)&gt;0,"Yes","No")</x:f>
        <x:v>Yes</x:v>
      </x:c>
      <x:c r="E77" s="19" t="str">
        <x:f>IF(COUNTIF('Heatmap 169'!$A$2:$A$170,A77)&gt;0,"Yes","No")</x:f>
        <x:v>No</x:v>
      </x:c>
      <x:c r="F77" s="19" t="n">
        <x:f>COUNTIF(C77:E77,"Yes")</x:f>
        <x:v>1</x:v>
      </x:c>
      <x:c r="G77" s="10" t="str">
        <x:f>IF(F77=3,"All three",IF(F77=2,IF(C77="No","Volcano + heatmap",IF(D77="No","Colleague + heatmap","Colleague + volcano")),IF(C77="Yes","Colleague only",IF(D77="Yes","Volcano only","Heatmap only"))))</x:f>
        <x:v>Volcano only</x:v>
      </x:c>
      <x:c r="H77" s="10" t="str"/>
      <x:c r="I77" s="10" t="str"/>
      <x:c r="J77" s="10" t="str">
        <x:v>Detoxification / stress</x:v>
      </x:c>
      <x:c r="K77" s="10" t="str">
        <x:v>infection_diet33</x:v>
      </x:c>
      <x:c r="L77" s="10" t="str"/>
      <x:c r="M77" s="10" t="str"/>
      <x:c r="N77" s="10" t="str"/>
    </x:row>
    <x:row r="78">
      <x:c r="A78" s="10" t="str">
        <x:v>LOC126272336</x:v>
      </x:c>
      <x:c r="B78" s="10" t="str">
        <x:v>uncharacterized LOC126272336</x:v>
      </x:c>
      <x:c r="C78" s="19" t="str">
        <x:f>IF(COUNTIF('Colleague 115'!$A$2:$A$116,A78)&gt;0,"Yes","No")</x:f>
        <x:v>No</x:v>
      </x:c>
      <x:c r="D78" s="19" t="str">
        <x:f>IF(COUNTIF('Volcano 402'!$A$2:$A$403,A78)&gt;0,"Yes","No")</x:f>
        <x:v>Yes</x:v>
      </x:c>
      <x:c r="E78" s="19" t="str">
        <x:f>IF(COUNTIF('Heatmap 169'!$A$2:$A$170,A78)&gt;0,"Yes","No")</x:f>
        <x:v>No</x:v>
      </x:c>
      <x:c r="F78" s="19" t="n">
        <x:f>COUNTIF(C78:E78,"Yes")</x:f>
        <x:v>1</x:v>
      </x:c>
      <x:c r="G78" s="10" t="str">
        <x:f>IF(F78=3,"All three",IF(F78=2,IF(C78="No","Volcano + heatmap",IF(D78="No","Colleague + heatmap","Colleague + volcano")),IF(C78="Yes","Colleague only",IF(D78="Yes","Volcano only","Heatmap only"))))</x:f>
        <x:v>Volcano only</x:v>
      </x:c>
      <x:c r="H78" s="10" t="str"/>
      <x:c r="I78" s="10" t="str"/>
      <x:c r="J78" s="10" t="str">
        <x:v>Lipid synthesis / metabolism</x:v>
      </x:c>
      <x:c r="K78" s="10" t="str">
        <x:v>infection_average_all_diets; infection_diet33; infection_diet50; infection_diet83</x:v>
      </x:c>
      <x:c r="L78" s="10" t="str"/>
      <x:c r="M78" s="10" t="str"/>
      <x:c r="N78" s="10" t="str"/>
    </x:row>
    <x:row r="79">
      <x:c r="A79" s="10" t="str">
        <x:v>LOC126272350</x:v>
      </x:c>
      <x:c r="B79" s="10" t="str">
        <x:v>carbohydrate binding</x:v>
      </x:c>
      <x:c r="C79" s="19" t="str">
        <x:f>IF(COUNTIF('Colleague 115'!$A$2:$A$116,A79)&gt;0,"Yes","No")</x:f>
        <x:v>No</x:v>
      </x:c>
      <x:c r="D79" s="19" t="str">
        <x:f>IF(COUNTIF('Volcano 402'!$A$2:$A$403,A79)&gt;0,"Yes","No")</x:f>
        <x:v>No</x:v>
      </x:c>
      <x:c r="E79" s="19" t="str">
        <x:f>IF(COUNTIF('Heatmap 169'!$A$2:$A$170,A79)&gt;0,"Yes","No")</x:f>
        <x:v>Yes</x:v>
      </x:c>
      <x:c r="F79" s="19" t="n">
        <x:f>COUNTIF(C79:E79,"Yes")</x:f>
        <x:v>1</x:v>
      </x:c>
      <x:c r="G79" s="10" t="str">
        <x:f>IF(F79=3,"All three",IF(F79=2,IF(C79="No","Volcano + heatmap",IF(D79="No","Colleague + heatmap","Colleague + volcano")),IF(C79="Yes","Colleague only",IF(D79="Yes","Volcano only","Heatmap only"))))</x:f>
        <x:v>Heatmap only</x:v>
      </x:c>
      <x:c r="H79" s="10" t="str"/>
      <x:c r="I79" s="10" t="str"/>
      <x:c r="J79" s="10" t="str"/>
      <x:c r="K79" s="10" t="str"/>
      <x:c r="L79" s="10" t="str">
        <x:v>Functional candidate</x:v>
      </x:c>
      <x:c r="M79" s="10" t="str">
        <x:v>Immune-related</x:v>
      </x:c>
      <x:c r="N79" s="10" t="str">
        <x:v>Not DEG</x:v>
      </x:c>
    </x:row>
    <x:row r="80">
      <x:c r="A80" s="10" t="str">
        <x:v>LOC126272361</x:v>
      </x:c>
      <x:c r="B80" s="10" t="str">
        <x:v>lysozyme-like</x:v>
      </x:c>
      <x:c r="C80" s="19" t="str">
        <x:f>IF(COUNTIF('Colleague 115'!$A$2:$A$116,A80)&gt;0,"Yes","No")</x:f>
        <x:v>No</x:v>
      </x:c>
      <x:c r="D80" s="19" t="str">
        <x:f>IF(COUNTIF('Volcano 402'!$A$2:$A$403,A80)&gt;0,"Yes","No")</x:f>
        <x:v>Yes</x:v>
      </x:c>
      <x:c r="E80" s="19" t="str">
        <x:f>IF(COUNTIF('Heatmap 169'!$A$2:$A$170,A80)&gt;0,"Yes","No")</x:f>
        <x:v>No</x:v>
      </x:c>
      <x:c r="F80" s="19" t="n">
        <x:f>COUNTIF(C80:E80,"Yes")</x:f>
        <x:v>1</x:v>
      </x:c>
      <x:c r="G80" s="10" t="str">
        <x:f>IF(F80=3,"All three",IF(F80=2,IF(C80="No","Volcano + heatmap",IF(D80="No","Colleague + heatmap","Colleague + volcano")),IF(C80="Yes","Colleague only",IF(D80="Yes","Volcano only","Heatmap only"))))</x:f>
        <x:v>Volcano only</x:v>
      </x:c>
      <x:c r="H80" s="10" t="str"/>
      <x:c r="I80" s="10" t="str"/>
      <x:c r="J80" s="10" t="str">
        <x:v>Antimicrobial peptides</x:v>
      </x:c>
      <x:c r="K80" s="10" t="str">
        <x:v>infection_average_all_diets; infection_diet50; infection_diet83</x:v>
      </x:c>
      <x:c r="L80" s="10" t="str"/>
      <x:c r="M80" s="10" t="str"/>
      <x:c r="N80" s="10" t="str"/>
    </x:row>
    <x:row r="81">
      <x:c r="A81" s="10" t="str">
        <x:v>LOC126272362</x:v>
      </x:c>
      <x:c r="B81" s="10" t="str">
        <x:v>lysozyme c-1-like</x:v>
      </x:c>
      <x:c r="C81" s="19" t="str">
        <x:f>IF(COUNTIF('Colleague 115'!$A$2:$A$116,A81)&gt;0,"Yes","No")</x:f>
        <x:v>No</x:v>
      </x:c>
      <x:c r="D81" s="19" t="str">
        <x:f>IF(COUNTIF('Volcano 402'!$A$2:$A$403,A81)&gt;0,"Yes","No")</x:f>
        <x:v>Yes</x:v>
      </x:c>
      <x:c r="E81" s="19" t="str">
        <x:f>IF(COUNTIF('Heatmap 169'!$A$2:$A$170,A81)&gt;0,"Yes","No")</x:f>
        <x:v>No</x:v>
      </x:c>
      <x:c r="F81" s="19" t="n">
        <x:f>COUNTIF(C81:E81,"Yes")</x:f>
        <x:v>1</x:v>
      </x:c>
      <x:c r="G81" s="10" t="str">
        <x:f>IF(F81=3,"All three",IF(F81=2,IF(C81="No","Volcano + heatmap",IF(D81="No","Colleague + heatmap","Colleague + volcano")),IF(C81="Yes","Colleague only",IF(D81="Yes","Volcano only","Heatmap only"))))</x:f>
        <x:v>Volcano only</x:v>
      </x:c>
      <x:c r="H81" s="10" t="str"/>
      <x:c r="I81" s="10" t="str"/>
      <x:c r="J81" s="10" t="str">
        <x:v>Antimicrobial peptides</x:v>
      </x:c>
      <x:c r="K81" s="10" t="str">
        <x:v>infection_diet50</x:v>
      </x:c>
      <x:c r="L81" s="10" t="str"/>
      <x:c r="M81" s="10" t="str"/>
      <x:c r="N81" s="10" t="str"/>
    </x:row>
    <x:row r="82">
      <x:c r="A82" s="10" t="str">
        <x:v>LOC126272364</x:v>
      </x:c>
      <x:c r="B82" s="10" t="str">
        <x:v>lysozyme-like</x:v>
      </x:c>
      <x:c r="C82" s="19" t="str">
        <x:f>IF(COUNTIF('Colleague 115'!$A$2:$A$116,A82)&gt;0,"Yes","No")</x:f>
        <x:v>No</x:v>
      </x:c>
      <x:c r="D82" s="19" t="str">
        <x:f>IF(COUNTIF('Volcano 402'!$A$2:$A$403,A82)&gt;0,"Yes","No")</x:f>
        <x:v>Yes</x:v>
      </x:c>
      <x:c r="E82" s="19" t="str">
        <x:f>IF(COUNTIF('Heatmap 169'!$A$2:$A$170,A82)&gt;0,"Yes","No")</x:f>
        <x:v>No</x:v>
      </x:c>
      <x:c r="F82" s="19" t="n">
        <x:f>COUNTIF(C82:E82,"Yes")</x:f>
        <x:v>1</x:v>
      </x:c>
      <x:c r="G82" s="10" t="str">
        <x:f>IF(F82=3,"All three",IF(F82=2,IF(C82="No","Volcano + heatmap",IF(D82="No","Colleague + heatmap","Colleague + volcano")),IF(C82="Yes","Colleague only",IF(D82="Yes","Volcano only","Heatmap only"))))</x:f>
        <x:v>Volcano only</x:v>
      </x:c>
      <x:c r="H82" s="10" t="str"/>
      <x:c r="I82" s="10" t="str"/>
      <x:c r="J82" s="10" t="str">
        <x:v>Antimicrobial peptides</x:v>
      </x:c>
      <x:c r="K82" s="10" t="str">
        <x:v>infection_average_all_diets</x:v>
      </x:c>
      <x:c r="L82" s="10" t="str"/>
      <x:c r="M82" s="10" t="str"/>
      <x:c r="N82" s="10" t="str"/>
    </x:row>
    <x:row r="83">
      <x:c r="A83" s="10" t="str">
        <x:v>LOC126272399</x:v>
      </x:c>
      <x:c r="B83" s="10" t="str">
        <x:v>oxysterol-binding protein-related protein 9</x:v>
      </x:c>
      <x:c r="C83" s="19" t="str">
        <x:f>IF(COUNTIF('Colleague 115'!$A$2:$A$116,A83)&gt;0,"Yes","No")</x:f>
        <x:v>No</x:v>
      </x:c>
      <x:c r="D83" s="19" t="str">
        <x:f>IF(COUNTIF('Volcano 402'!$A$2:$A$403,A83)&gt;0,"Yes","No")</x:f>
        <x:v>Yes</x:v>
      </x:c>
      <x:c r="E83" s="19" t="str">
        <x:f>IF(COUNTIF('Heatmap 169'!$A$2:$A$170,A83)&gt;0,"Yes","No")</x:f>
        <x:v>No</x:v>
      </x:c>
      <x:c r="F83" s="19" t="n">
        <x:f>COUNTIF(C83:E83,"Yes")</x:f>
        <x:v>1</x:v>
      </x:c>
      <x:c r="G83" s="10" t="str">
        <x:f>IF(F83=3,"All three",IF(F83=2,IF(C83="No","Volcano + heatmap",IF(D83="No","Colleague + heatmap","Colleague + volcano")),IF(C83="Yes","Colleague only",IF(D83="Yes","Volcano only","Heatmap only"))))</x:f>
        <x:v>Volcano only</x:v>
      </x:c>
      <x:c r="H83" s="10" t="str"/>
      <x:c r="I83" s="10" t="str"/>
      <x:c r="J83" s="10" t="str">
        <x:v>Lipid synthesis / metabolism</x:v>
      </x:c>
      <x:c r="K83" s="10" t="str">
        <x:v>infection_average_all_diets; infection_diet33; infection_diet50; infection_diet83</x:v>
      </x:c>
      <x:c r="L83" s="10" t="str"/>
      <x:c r="M83" s="10" t="str"/>
      <x:c r="N83" s="10" t="str"/>
    </x:row>
    <x:row r="84">
      <x:c r="A84" s="10" t="str">
        <x:v>LOC126272450</x:v>
      </x:c>
      <x:c r="B84" s="10" t="str">
        <x:v>uncharacterized oxidoreductase YjmC-like</x:v>
      </x:c>
      <x:c r="C84" s="19" t="str">
        <x:f>IF(COUNTIF('Colleague 115'!$A$2:$A$116,A84)&gt;0,"Yes","No")</x:f>
        <x:v>No</x:v>
      </x:c>
      <x:c r="D84" s="19" t="str">
        <x:f>IF(COUNTIF('Volcano 402'!$A$2:$A$403,A84)&gt;0,"Yes","No")</x:f>
        <x:v>Yes</x:v>
      </x:c>
      <x:c r="E84" s="19" t="str">
        <x:f>IF(COUNTIF('Heatmap 169'!$A$2:$A$170,A84)&gt;0,"Yes","No")</x:f>
        <x:v>No</x:v>
      </x:c>
      <x:c r="F84" s="19" t="n">
        <x:f>COUNTIF(C84:E84,"Yes")</x:f>
        <x:v>1</x:v>
      </x:c>
      <x:c r="G84" s="10" t="str">
        <x:f>IF(F84=3,"All three",IF(F84=2,IF(C84="No","Volcano + heatmap",IF(D84="No","Colleague + heatmap","Colleague + volcano")),IF(C84="Yes","Colleague only",IF(D84="Yes","Volcano only","Heatmap only"))))</x:f>
        <x:v>Volcano only</x:v>
      </x:c>
      <x:c r="H84" s="10" t="str"/>
      <x:c r="I84" s="10" t="str"/>
      <x:c r="J84" s="10" t="str">
        <x:v>Detoxification / stress</x:v>
      </x:c>
      <x:c r="K84" s="10" t="str">
        <x:v>infection_diet50</x:v>
      </x:c>
      <x:c r="L84" s="10" t="str"/>
      <x:c r="M84" s="10" t="str"/>
      <x:c r="N84" s="10" t="str"/>
    </x:row>
    <x:row r="85">
      <x:c r="A85" s="10" t="str">
        <x:v>LOC126272566</x:v>
      </x:c>
      <x:c r="B85" s="10" t="str">
        <x:v>malectin-A</x:v>
      </x:c>
      <x:c r="C85" s="19" t="str">
        <x:f>IF(COUNTIF('Colleague 115'!$A$2:$A$116,A85)&gt;0,"Yes","No")</x:f>
        <x:v>No</x:v>
      </x:c>
      <x:c r="D85" s="19" t="str">
        <x:f>IF(COUNTIF('Volcano 402'!$A$2:$A$403,A85)&gt;0,"Yes","No")</x:f>
        <x:v>Yes</x:v>
      </x:c>
      <x:c r="E85" s="19" t="str">
        <x:f>IF(COUNTIF('Heatmap 169'!$A$2:$A$170,A85)&gt;0,"Yes","No")</x:f>
        <x:v>No</x:v>
      </x:c>
      <x:c r="F85" s="19" t="n">
        <x:f>COUNTIF(C85:E85,"Yes")</x:f>
        <x:v>1</x:v>
      </x:c>
      <x:c r="G85" s="10" t="str">
        <x:f>IF(F85=3,"All three",IF(F85=2,IF(C85="No","Volcano + heatmap",IF(D85="No","Colleague + heatmap","Colleague + volcano")),IF(C85="Yes","Colleague only",IF(D85="Yes","Volcano only","Heatmap only"))))</x:f>
        <x:v>Volcano only</x:v>
      </x:c>
      <x:c r="H85" s="10" t="str"/>
      <x:c r="I85" s="10" t="str"/>
      <x:c r="J85" s="10" t="str">
        <x:v>Immune-related</x:v>
      </x:c>
      <x:c r="K85" s="10" t="str">
        <x:v>infection_diet50</x:v>
      </x:c>
      <x:c r="L85" s="10" t="str"/>
      <x:c r="M85" s="10" t="str"/>
      <x:c r="N85" s="10" t="str"/>
    </x:row>
    <x:row r="86">
      <x:c r="A86" s="10" t="str">
        <x:v>LOC126272567</x:v>
      </x:c>
      <x:c r="B86" s="10" t="str">
        <x:v>dolichyl-diphosphooligosaccharide--protein glycosyltransferase subunit DAD1</x:v>
      </x:c>
      <x:c r="C86" s="19" t="str">
        <x:f>IF(COUNTIF('Colleague 115'!$A$2:$A$116,A86)&gt;0,"Yes","No")</x:f>
        <x:v>No</x:v>
      </x:c>
      <x:c r="D86" s="19" t="str">
        <x:f>IF(COUNTIF('Volcano 402'!$A$2:$A$403,A86)&gt;0,"Yes","No")</x:f>
        <x:v>Yes</x:v>
      </x:c>
      <x:c r="E86" s="19" t="str">
        <x:f>IF(COUNTIF('Heatmap 169'!$A$2:$A$170,A86)&gt;0,"Yes","No")</x:f>
        <x:v>No</x:v>
      </x:c>
      <x:c r="F86" s="19" t="n">
        <x:f>COUNTIF(C86:E86,"Yes")</x:f>
        <x:v>1</x:v>
      </x:c>
      <x:c r="G86" s="10" t="str">
        <x:f>IF(F86=3,"All three",IF(F86=2,IF(C86="No","Volcano + heatmap",IF(D86="No","Colleague + heatmap","Colleague + volcano")),IF(C86="Yes","Colleague only",IF(D86="Yes","Volcano only","Heatmap only"))))</x:f>
        <x:v>Volcano only</x:v>
      </x:c>
      <x:c r="H86" s="10" t="str"/>
      <x:c r="I86" s="10" t="str"/>
      <x:c r="J86" s="10" t="str">
        <x:v>Lipid synthesis / metabolism</x:v>
      </x:c>
      <x:c r="K86" s="10" t="str">
        <x:v>infection_diet50</x:v>
      </x:c>
      <x:c r="L86" s="10" t="str"/>
      <x:c r="M86" s="10" t="str"/>
      <x:c r="N86" s="10" t="str"/>
    </x:row>
    <x:row r="87">
      <x:c r="A87" s="10" t="str">
        <x:v>LOC126272683</x:v>
      </x:c>
      <x:c r="B87" s="10" t="str">
        <x:v>cytochrome P450 6k1-like</x:v>
      </x:c>
      <x:c r="C87" s="19" t="str">
        <x:f>IF(COUNTIF('Colleague 115'!$A$2:$A$116,A87)&gt;0,"Yes","No")</x:f>
        <x:v>No</x:v>
      </x:c>
      <x:c r="D87" s="19" t="str">
        <x:f>IF(COUNTIF('Volcano 402'!$A$2:$A$403,A87)&gt;0,"Yes","No")</x:f>
        <x:v>Yes</x:v>
      </x:c>
      <x:c r="E87" s="19" t="str">
        <x:f>IF(COUNTIF('Heatmap 169'!$A$2:$A$170,A87)&gt;0,"Yes","No")</x:f>
        <x:v>No</x:v>
      </x:c>
      <x:c r="F87" s="19" t="n">
        <x:f>COUNTIF(C87:E87,"Yes")</x:f>
        <x:v>1</x:v>
      </x:c>
      <x:c r="G87" s="10" t="str">
        <x:f>IF(F87=3,"All three",IF(F87=2,IF(C87="No","Volcano + heatmap",IF(D87="No","Colleague + heatmap","Colleague + volcano")),IF(C87="Yes","Colleague only",IF(D87="Yes","Volcano only","Heatmap only"))))</x:f>
        <x:v>Volcano only</x:v>
      </x:c>
      <x:c r="H87" s="10" t="str"/>
      <x:c r="I87" s="10" t="str"/>
      <x:c r="J87" s="10" t="str">
        <x:v>Detoxification / stress</x:v>
      </x:c>
      <x:c r="K87" s="10" t="str">
        <x:v>control_diet83_vs50; infection_diet50</x:v>
      </x:c>
      <x:c r="L87" s="10" t="str"/>
      <x:c r="M87" s="10" t="str"/>
      <x:c r="N87" s="10" t="str"/>
    </x:row>
    <x:row r="88">
      <x:c r="A88" s="10" t="str">
        <x:v>LOC126272684</x:v>
      </x:c>
      <x:c r="B88" s="10" t="str">
        <x:v>cytochrome P450 6k1-like</x:v>
      </x:c>
      <x:c r="C88" s="19" t="str">
        <x:f>IF(COUNTIF('Colleague 115'!$A$2:$A$116,A88)&gt;0,"Yes","No")</x:f>
        <x:v>No</x:v>
      </x:c>
      <x:c r="D88" s="19" t="str">
        <x:f>IF(COUNTIF('Volcano 402'!$A$2:$A$403,A88)&gt;0,"Yes","No")</x:f>
        <x:v>Yes</x:v>
      </x:c>
      <x:c r="E88" s="19" t="str">
        <x:f>IF(COUNTIF('Heatmap 169'!$A$2:$A$170,A88)&gt;0,"Yes","No")</x:f>
        <x:v>Yes</x:v>
      </x:c>
      <x:c r="F88" s="19" t="n">
        <x:f>COUNTIF(C88:E88,"Yes")</x:f>
        <x:v>2</x:v>
      </x:c>
      <x:c r="G88" s="10" t="str">
        <x:f>IF(F88=3,"All three",IF(F88=2,IF(C88="No","Volcano + heatmap",IF(D88="No","Colleague + heatmap","Colleague + volcano")),IF(C88="Yes","Colleague only",IF(D88="Yes","Volcano only","Heatmap only"))))</x:f>
        <x:v>Volcano + heatmap</x:v>
      </x:c>
      <x:c r="H88" s="10" t="str"/>
      <x:c r="I88" s="10" t="str"/>
      <x:c r="J88" s="10" t="str">
        <x:v>Detoxification / stress</x:v>
      </x:c>
      <x:c r="K88" s="10" t="str">
        <x:v>infected_diet33_vs50</x:v>
      </x:c>
      <x:c r="L88" s="10" t="str">
        <x:v>Functional candidate</x:v>
      </x:c>
      <x:c r="M88" s="10" t="str">
        <x:v>Detoxification/stress</x:v>
      </x:c>
      <x:c r="N88" s="10" t="str">
        <x:v>Not DEG</x:v>
      </x:c>
    </x:row>
    <x:row r="89">
      <x:c r="A89" s="10" t="str">
        <x:v>LOC126272716</x:v>
      </x:c>
      <x:c r="B89" s="10" t="str">
        <x:v>pyrimidodiazepine synthase-like</x:v>
      </x:c>
      <x:c r="C89" s="19" t="str">
        <x:f>IF(COUNTIF('Colleague 115'!$A$2:$A$116,A89)&gt;0,"Yes","No")</x:f>
        <x:v>No</x:v>
      </x:c>
      <x:c r="D89" s="19" t="str">
        <x:f>IF(COUNTIF('Volcano 402'!$A$2:$A$403,A89)&gt;0,"Yes","No")</x:f>
        <x:v>Yes</x:v>
      </x:c>
      <x:c r="E89" s="19" t="str">
        <x:f>IF(COUNTIF('Heatmap 169'!$A$2:$A$170,A89)&gt;0,"Yes","No")</x:f>
        <x:v>No</x:v>
      </x:c>
      <x:c r="F89" s="19" t="n">
        <x:f>COUNTIF(C89:E89,"Yes")</x:f>
        <x:v>1</x:v>
      </x:c>
      <x:c r="G89" s="10" t="str">
        <x:f>IF(F89=3,"All three",IF(F89=2,IF(C89="No","Volcano + heatmap",IF(D89="No","Colleague + heatmap","Colleague + volcano")),IF(C89="Yes","Colleague only",IF(D89="Yes","Volcano only","Heatmap only"))))</x:f>
        <x:v>Volcano only</x:v>
      </x:c>
      <x:c r="H89" s="10" t="str"/>
      <x:c r="I89" s="10" t="str"/>
      <x:c r="J89" s="10" t="str">
        <x:v>Detoxification / stress</x:v>
      </x:c>
      <x:c r="K89" s="10" t="str">
        <x:v>infected_diet83_vs33; infection_diet33</x:v>
      </x:c>
      <x:c r="L89" s="10" t="str"/>
      <x:c r="M89" s="10" t="str"/>
      <x:c r="N89" s="10" t="str"/>
    </x:row>
    <x:row r="90">
      <x:c r="A90" s="10" t="str">
        <x:v>LOC126272724</x:v>
      </x:c>
      <x:c r="B90" s="10" t="str">
        <x:v>pyrimidodiazepine synthase-like</x:v>
      </x:c>
      <x:c r="C90" s="19" t="str">
        <x:f>IF(COUNTIF('Colleague 115'!$A$2:$A$116,A90)&gt;0,"Yes","No")</x:f>
        <x:v>No</x:v>
      </x:c>
      <x:c r="D90" s="19" t="str">
        <x:f>IF(COUNTIF('Volcano 402'!$A$2:$A$403,A90)&gt;0,"Yes","No")</x:f>
        <x:v>Yes</x:v>
      </x:c>
      <x:c r="E90" s="19" t="str">
        <x:f>IF(COUNTIF('Heatmap 169'!$A$2:$A$170,A90)&gt;0,"Yes","No")</x:f>
        <x:v>Yes</x:v>
      </x:c>
      <x:c r="F90" s="19" t="n">
        <x:f>COUNTIF(C90:E90,"Yes")</x:f>
        <x:v>2</x:v>
      </x:c>
      <x:c r="G90" s="10" t="str">
        <x:f>IF(F90=3,"All three",IF(F90=2,IF(C90="No","Volcano + heatmap",IF(D90="No","Colleague + heatmap","Colleague + volcano")),IF(C90="Yes","Colleague only",IF(D90="Yes","Volcano only","Heatmap only"))))</x:f>
        <x:v>Volcano + heatmap</x:v>
      </x:c>
      <x:c r="H90" s="10" t="str"/>
      <x:c r="I90" s="10" t="str"/>
      <x:c r="J90" s="10" t="str">
        <x:v>Detoxification / stress</x:v>
      </x:c>
      <x:c r="K90" s="10" t="str">
        <x:v>infection_average_all_diets; infection_diet33; infection_diet50; infection_diet83</x:v>
      </x:c>
      <x:c r="L90" s="10" t="str">
        <x:v>Functional candidate</x:v>
      </x:c>
      <x:c r="M90" s="10" t="str">
        <x:v>Detoxification/stress</x:v>
      </x:c>
      <x:c r="N90" s="10" t="str">
        <x:v>DEG</x:v>
      </x:c>
    </x:row>
    <x:row r="91">
      <x:c r="A91" s="10" t="str">
        <x:v>LOC126272748</x:v>
      </x:c>
      <x:c r="B91" s="10" t="str">
        <x:v>SPRY domain-containing SOCS box protein 3</x:v>
      </x:c>
      <x:c r="C91" s="19" t="str">
        <x:f>IF(COUNTIF('Colleague 115'!$A$2:$A$116,A91)&gt;0,"Yes","No")</x:f>
        <x:v>Yes</x:v>
      </x:c>
      <x:c r="D91" s="19" t="str">
        <x:f>IF(COUNTIF('Volcano 402'!$A$2:$A$403,A91)&gt;0,"Yes","No")</x:f>
        <x:v>No</x:v>
      </x:c>
      <x:c r="E91" s="19" t="str">
        <x:f>IF(COUNTIF('Heatmap 169'!$A$2:$A$170,A91)&gt;0,"Yes","No")</x:f>
        <x:v>No</x:v>
      </x:c>
      <x:c r="F91" s="19" t="n">
        <x:f>COUNTIF(C91:E91,"Yes")</x:f>
        <x:v>1</x:v>
      </x:c>
      <x:c r="G91" s="10" t="str">
        <x:f>IF(F91=3,"All three",IF(F91=2,IF(C91="No","Volcano + heatmap",IF(D91="No","Colleague + heatmap","Colleague + volcano")),IF(C91="Yes","Colleague only",IF(D91="Yes","Volcano only","Heatmap only"))))</x:f>
        <x:v>Colleague only</x:v>
      </x:c>
      <x:c r="H91" s="10" t="str">
        <x:v>Innate Immune Recognition &amp; Signaling</x:v>
      </x:c>
      <x:c r="I91" s="10" t="str">
        <x:v>Post-Translational Regulation &amp; Feedback Control</x:v>
      </x:c>
      <x:c r="J91" s="10" t="str"/>
      <x:c r="K91" s="10" t="str"/>
      <x:c r="L91" s="10" t="str"/>
      <x:c r="M91" s="10" t="str"/>
      <x:c r="N91" s="10" t="str"/>
    </x:row>
    <x:row r="92">
      <x:c r="A92" s="10" t="str">
        <x:v>LOC126272750</x:v>
      </x:c>
      <x:c r="B92" s="10" t="str">
        <x:v>annexin B9-like</x:v>
      </x:c>
      <x:c r="C92" s="19" t="str">
        <x:f>IF(COUNTIF('Colleague 115'!$A$2:$A$116,A92)&gt;0,"Yes","No")</x:f>
        <x:v>No</x:v>
      </x:c>
      <x:c r="D92" s="19" t="str">
        <x:f>IF(COUNTIF('Volcano 402'!$A$2:$A$403,A92)&gt;0,"Yes","No")</x:f>
        <x:v>Yes</x:v>
      </x:c>
      <x:c r="E92" s="19" t="str">
        <x:f>IF(COUNTIF('Heatmap 169'!$A$2:$A$170,A92)&gt;0,"Yes","No")</x:f>
        <x:v>No</x:v>
      </x:c>
      <x:c r="F92" s="19" t="n">
        <x:f>COUNTIF(C92:E92,"Yes")</x:f>
        <x:v>1</x:v>
      </x:c>
      <x:c r="G92" s="10" t="str">
        <x:f>IF(F92=3,"All three",IF(F92=2,IF(C92="No","Volcano + heatmap",IF(D92="No","Colleague + heatmap","Colleague + volcano")),IF(C92="Yes","Colleague only",IF(D92="Yes","Volcano only","Heatmap only"))))</x:f>
        <x:v>Volcano only</x:v>
      </x:c>
      <x:c r="H92" s="10" t="str"/>
      <x:c r="I92" s="10" t="str"/>
      <x:c r="J92" s="10" t="str">
        <x:v>Lipid synthesis / metabolism</x:v>
      </x:c>
      <x:c r="K92" s="10" t="str">
        <x:v>infection_average_all_diets; infection_diet33; infection_diet50; infection_diet83</x:v>
      </x:c>
      <x:c r="L92" s="10" t="str"/>
      <x:c r="M92" s="10" t="str"/>
      <x:c r="N92" s="10" t="str"/>
    </x:row>
    <x:row r="93">
      <x:c r="A93" s="10" t="str">
        <x:v>LOC126272799</x:v>
      </x:c>
      <x:c r="B93" s="10" t="str">
        <x:v>cytochrome p450</x:v>
      </x:c>
      <x:c r="C93" s="19" t="str">
        <x:f>IF(COUNTIF('Colleague 115'!$A$2:$A$116,A93)&gt;0,"Yes","No")</x:f>
        <x:v>No</x:v>
      </x:c>
      <x:c r="D93" s="19" t="str">
        <x:f>IF(COUNTIF('Volcano 402'!$A$2:$A$403,A93)&gt;0,"Yes","No")</x:f>
        <x:v>No</x:v>
      </x:c>
      <x:c r="E93" s="19" t="str">
        <x:f>IF(COUNTIF('Heatmap 169'!$A$2:$A$170,A93)&gt;0,"Yes","No")</x:f>
        <x:v>Yes</x:v>
      </x:c>
      <x:c r="F93" s="19" t="n">
        <x:f>COUNTIF(C93:E93,"Yes")</x:f>
        <x:v>1</x:v>
      </x:c>
      <x:c r="G93" s="10" t="str">
        <x:f>IF(F93=3,"All three",IF(F93=2,IF(C93="No","Volcano + heatmap",IF(D93="No","Colleague + heatmap","Colleague + volcano")),IF(C93="Yes","Colleague only",IF(D93="Yes","Volcano only","Heatmap only"))))</x:f>
        <x:v>Heatmap only</x:v>
      </x:c>
      <x:c r="H93" s="10" t="str"/>
      <x:c r="I93" s="10" t="str"/>
      <x:c r="J93" s="10" t="str"/>
      <x:c r="K93" s="10" t="str"/>
      <x:c r="L93" s="10" t="str">
        <x:v>Functional candidate</x:v>
      </x:c>
      <x:c r="M93" s="10" t="str">
        <x:v>Detoxification/stress</x:v>
      </x:c>
      <x:c r="N93" s="10" t="str">
        <x:v>Not DEG</x:v>
      </x:c>
    </x:row>
    <x:row r="94">
      <x:c r="A94" s="10" t="str">
        <x:v>LOC126272823</x:v>
      </x:c>
      <x:c r="B94" s="10" t="str">
        <x:v>heme binding. It is involved in the biological process described with oxidation-reduction process</x:v>
      </x:c>
      <x:c r="C94" s="19" t="str">
        <x:f>IF(COUNTIF('Colleague 115'!$A$2:$A$116,A94)&gt;0,"Yes","No")</x:f>
        <x:v>No</x:v>
      </x:c>
      <x:c r="D94" s="19" t="str">
        <x:f>IF(COUNTIF('Volcano 402'!$A$2:$A$403,A94)&gt;0,"Yes","No")</x:f>
        <x:v>No</x:v>
      </x:c>
      <x:c r="E94" s="19" t="str">
        <x:f>IF(COUNTIF('Heatmap 169'!$A$2:$A$170,A94)&gt;0,"Yes","No")</x:f>
        <x:v>Yes</x:v>
      </x:c>
      <x:c r="F94" s="19" t="n">
        <x:f>COUNTIF(C94:E94,"Yes")</x:f>
        <x:v>1</x:v>
      </x:c>
      <x:c r="G94" s="10" t="str">
        <x:f>IF(F94=3,"All three",IF(F94=2,IF(C94="No","Volcano + heatmap",IF(D94="No","Colleague + heatmap","Colleague + volcano")),IF(C94="Yes","Colleague only",IF(D94="Yes","Volcano only","Heatmap only"))))</x:f>
        <x:v>Heatmap only</x:v>
      </x:c>
      <x:c r="H94" s="10" t="str"/>
      <x:c r="I94" s="10" t="str"/>
      <x:c r="J94" s="10" t="str"/>
      <x:c r="K94" s="10" t="str"/>
      <x:c r="L94" s="10" t="str">
        <x:v>Functional candidate</x:v>
      </x:c>
      <x:c r="M94" s="10" t="str">
        <x:v>Detoxification/stress</x:v>
      </x:c>
      <x:c r="N94" s="10" t="str">
        <x:v>Not DEG</x:v>
      </x:c>
    </x:row>
    <x:row r="95">
      <x:c r="A95" s="10" t="str">
        <x:v>LOC126272837</x:v>
      </x:c>
      <x:c r="B95" s="10" t="str">
        <x:v>cytochrome P450 6k1-like</x:v>
      </x:c>
      <x:c r="C95" s="19" t="str">
        <x:f>IF(COUNTIF('Colleague 115'!$A$2:$A$116,A95)&gt;0,"Yes","No")</x:f>
        <x:v>No</x:v>
      </x:c>
      <x:c r="D95" s="19" t="str">
        <x:f>IF(COUNTIF('Volcano 402'!$A$2:$A$403,A95)&gt;0,"Yes","No")</x:f>
        <x:v>Yes</x:v>
      </x:c>
      <x:c r="E95" s="19" t="str">
        <x:f>IF(COUNTIF('Heatmap 169'!$A$2:$A$170,A95)&gt;0,"Yes","No")</x:f>
        <x:v>Yes</x:v>
      </x:c>
      <x:c r="F95" s="19" t="n">
        <x:f>COUNTIF(C95:E95,"Yes")</x:f>
        <x:v>2</x:v>
      </x:c>
      <x:c r="G95" s="10" t="str">
        <x:f>IF(F95=3,"All three",IF(F95=2,IF(C95="No","Volcano + heatmap",IF(D95="No","Colleague + heatmap","Colleague + volcano")),IF(C95="Yes","Colleague only",IF(D95="Yes","Volcano only","Heatmap only"))))</x:f>
        <x:v>Volcano + heatmap</x:v>
      </x:c>
      <x:c r="H95" s="10" t="str"/>
      <x:c r="I95" s="10" t="str"/>
      <x:c r="J95" s="10" t="str">
        <x:v>Detoxification / stress</x:v>
      </x:c>
      <x:c r="K95" s="10" t="str">
        <x:v>infected_diet33_vs50; infected_diet83_vs33; infection_diet33</x:v>
      </x:c>
      <x:c r="L95" s="10" t="str">
        <x:v>Functional candidate</x:v>
      </x:c>
      <x:c r="M95" s="10" t="str">
        <x:v>Detoxification/stress</x:v>
      </x:c>
      <x:c r="N95" s="10" t="str">
        <x:v>DEG</x:v>
      </x:c>
    </x:row>
    <x:row r="96">
      <x:c r="A96" s="10" t="str">
        <x:v>LOC126272858</x:v>
      </x:c>
      <x:c r="B96" s="10" t="str">
        <x:v>growth arrest and DNA damage-inducible protein GADD45 gamma</x:v>
      </x:c>
      <x:c r="C96" s="19" t="str">
        <x:f>IF(COUNTIF('Colleague 115'!$A$2:$A$116,A96)&gt;0,"Yes","No")</x:f>
        <x:v>No</x:v>
      </x:c>
      <x:c r="D96" s="19" t="str">
        <x:f>IF(COUNTIF('Volcano 402'!$A$2:$A$403,A96)&gt;0,"Yes","No")</x:f>
        <x:v>Yes</x:v>
      </x:c>
      <x:c r="E96" s="19" t="str">
        <x:f>IF(COUNTIF('Heatmap 169'!$A$2:$A$170,A96)&gt;0,"Yes","No")</x:f>
        <x:v>No</x:v>
      </x:c>
      <x:c r="F96" s="19" t="n">
        <x:f>COUNTIF(C96:E96,"Yes")</x:f>
        <x:v>1</x:v>
      </x:c>
      <x:c r="G96" s="10" t="str">
        <x:f>IF(F96=3,"All three",IF(F96=2,IF(C96="No","Volcano + heatmap",IF(D96="No","Colleague + heatmap","Colleague + volcano")),IF(C96="Yes","Colleague only",IF(D96="Yes","Volcano only","Heatmap only"))))</x:f>
        <x:v>Volcano only</x:v>
      </x:c>
      <x:c r="H96" s="10" t="str"/>
      <x:c r="I96" s="10" t="str"/>
      <x:c r="J96" s="10" t="str">
        <x:v>Protein synthesis / storage</x:v>
      </x:c>
      <x:c r="K96" s="10" t="str">
        <x:v>infection_average_all_diets; infection_diet33; infection_diet50; infection_diet83</x:v>
      </x:c>
      <x:c r="L96" s="10" t="str"/>
      <x:c r="M96" s="10" t="str"/>
      <x:c r="N96" s="10" t="str"/>
    </x:row>
    <x:row r="97">
      <x:c r="A97" s="10" t="str">
        <x:v>LOC126272860</x:v>
      </x:c>
      <x:c r="B97" s="10" t="str">
        <x:v>translation initiation factor IF-2-like</x:v>
      </x:c>
      <x:c r="C97" s="19" t="str">
        <x:f>IF(COUNTIF('Colleague 115'!$A$2:$A$116,A97)&gt;0,"Yes","No")</x:f>
        <x:v>Yes</x:v>
      </x:c>
      <x:c r="D97" s="19" t="str">
        <x:f>IF(COUNTIF('Volcano 402'!$A$2:$A$403,A97)&gt;0,"Yes","No")</x:f>
        <x:v>Yes</x:v>
      </x:c>
      <x:c r="E97" s="19" t="str">
        <x:f>IF(COUNTIF('Heatmap 169'!$A$2:$A$170,A97)&gt;0,"Yes","No")</x:f>
        <x:v>Yes</x:v>
      </x:c>
      <x:c r="F97" s="19" t="n">
        <x:f>COUNTIF(C97:E97,"Yes")</x:f>
        <x:v>3</x:v>
      </x:c>
      <x:c r="G97" s="10" t="str">
        <x:f>IF(F97=3,"All three",IF(F97=2,IF(C97="No","Volcano + heatmap",IF(D97="No","Colleague + heatmap","Colleague + volcano")),IF(C97="Yes","Colleague only",IF(D97="Yes","Volcano only","Heatmap only"))))</x:f>
        <x:v>All three</x:v>
      </x:c>
      <x:c r="H97" s="10" t="str">
        <x:v>Protein Synthesis &amp; Translation</x:v>
      </x:c>
      <x:c r="I97" s="10" t="str">
        <x:v>Translation Initiation &amp; Elongation Factors</x:v>
      </x:c>
      <x:c r="J97" s="10" t="str">
        <x:v>Protein synthesis / storage</x:v>
      </x:c>
      <x:c r="K97" s="10" t="str">
        <x:v>infected_diet83_vs33; infection_average_all_diets; infection_diet33; infection_diet50; infection_diet83</x:v>
      </x:c>
      <x:c r="L97" s="10" t="str">
        <x:v>Top DEG</x:v>
      </x:c>
      <x:c r="M97" s="10" t="str">
        <x:v>Other strong DEG</x:v>
      </x:c>
      <x:c r="N97" s="10" t="str">
        <x:v>DEG</x:v>
      </x:c>
    </x:row>
    <x:row r="98">
      <x:c r="A98" s="10" t="str">
        <x:v>LOC126272888</x:v>
      </x:c>
      <x:c r="B98" s="10" t="str">
        <x:v>uncharacterized LOC126272888</x:v>
      </x:c>
      <x:c r="C98" s="19" t="str">
        <x:f>IF(COUNTIF('Colleague 115'!$A$2:$A$116,A98)&gt;0,"Yes","No")</x:f>
        <x:v>No</x:v>
      </x:c>
      <x:c r="D98" s="19" t="str">
        <x:f>IF(COUNTIF('Volcano 402'!$A$2:$A$403,A98)&gt;0,"Yes","No")</x:f>
        <x:v>Yes</x:v>
      </x:c>
      <x:c r="E98" s="19" t="str">
        <x:f>IF(COUNTIF('Heatmap 169'!$A$2:$A$170,A98)&gt;0,"Yes","No")</x:f>
        <x:v>No</x:v>
      </x:c>
      <x:c r="F98" s="19" t="n">
        <x:f>COUNTIF(C98:E98,"Yes")</x:f>
        <x:v>1</x:v>
      </x:c>
      <x:c r="G98" s="10" t="str">
        <x:f>IF(F98=3,"All three",IF(F98=2,IF(C98="No","Volcano + heatmap",IF(D98="No","Colleague + heatmap","Colleague + volcano")),IF(C98="Yes","Colleague only",IF(D98="Yes","Volcano only","Heatmap only"))))</x:f>
        <x:v>Volcano only</x:v>
      </x:c>
      <x:c r="H98" s="10" t="str"/>
      <x:c r="I98" s="10" t="str"/>
      <x:c r="J98" s="10" t="str">
        <x:v>Detoxification / stress</x:v>
      </x:c>
      <x:c r="K98" s="10" t="str">
        <x:v>infection_average_all_diets; infection_diet83</x:v>
      </x:c>
      <x:c r="L98" s="10" t="str"/>
      <x:c r="M98" s="10" t="str"/>
      <x:c r="N98" s="10" t="str"/>
    </x:row>
    <x:row r="99">
      <x:c r="A99" s="10" t="str">
        <x:v>LOC126272899</x:v>
      </x:c>
      <x:c r="B99" s="10" t="str">
        <x:v>cytochrome P450 6k1-like</x:v>
      </x:c>
      <x:c r="C99" s="19" t="str">
        <x:f>IF(COUNTIF('Colleague 115'!$A$2:$A$116,A99)&gt;0,"Yes","No")</x:f>
        <x:v>No</x:v>
      </x:c>
      <x:c r="D99" s="19" t="str">
        <x:f>IF(COUNTIF('Volcano 402'!$A$2:$A$403,A99)&gt;0,"Yes","No")</x:f>
        <x:v>Yes</x:v>
      </x:c>
      <x:c r="E99" s="19" t="str">
        <x:f>IF(COUNTIF('Heatmap 169'!$A$2:$A$170,A99)&gt;0,"Yes","No")</x:f>
        <x:v>No</x:v>
      </x:c>
      <x:c r="F99" s="19" t="n">
        <x:f>COUNTIF(C99:E99,"Yes")</x:f>
        <x:v>1</x:v>
      </x:c>
      <x:c r="G99" s="10" t="str">
        <x:f>IF(F99=3,"All three",IF(F99=2,IF(C99="No","Volcano + heatmap",IF(D99="No","Colleague + heatmap","Colleague + volcano")),IF(C99="Yes","Colleague only",IF(D99="Yes","Volcano only","Heatmap only"))))</x:f>
        <x:v>Volcano only</x:v>
      </x:c>
      <x:c r="H99" s="10" t="str"/>
      <x:c r="I99" s="10" t="str"/>
      <x:c r="J99" s="10" t="str">
        <x:v>Detoxification / stress</x:v>
      </x:c>
      <x:c r="K99" s="10" t="str">
        <x:v>infection_average_all_diets; infection_diet50; infection_diet83</x:v>
      </x:c>
      <x:c r="L99" s="10" t="str"/>
      <x:c r="M99" s="10" t="str"/>
      <x:c r="N99" s="10" t="str"/>
    </x:row>
    <x:row r="100">
      <x:c r="A100" s="10" t="str">
        <x:v>LOC126272939</x:v>
      </x:c>
      <x:c r="B100" s="10" t="str">
        <x:v>cytochrome P450 4V2-like</x:v>
      </x:c>
      <x:c r="C100" s="19" t="str">
        <x:f>IF(COUNTIF('Colleague 115'!$A$2:$A$116,A100)&gt;0,"Yes","No")</x:f>
        <x:v>No</x:v>
      </x:c>
      <x:c r="D100" s="19" t="str">
        <x:f>IF(COUNTIF('Volcano 402'!$A$2:$A$403,A100)&gt;0,"Yes","No")</x:f>
        <x:v>Yes</x:v>
      </x:c>
      <x:c r="E100" s="19" t="str">
        <x:f>IF(COUNTIF('Heatmap 169'!$A$2:$A$170,A100)&gt;0,"Yes","No")</x:f>
        <x:v>No</x:v>
      </x:c>
      <x:c r="F100" s="19" t="n">
        <x:f>COUNTIF(C100:E100,"Yes")</x:f>
        <x:v>1</x:v>
      </x:c>
      <x:c r="G100" s="10" t="str">
        <x:f>IF(F100=3,"All three",IF(F100=2,IF(C100="No","Volcano + heatmap",IF(D100="No","Colleague + heatmap","Colleague + volcano")),IF(C100="Yes","Colleague only",IF(D100="Yes","Volcano only","Heatmap only"))))</x:f>
        <x:v>Volcano only</x:v>
      </x:c>
      <x:c r="H100" s="10" t="str"/>
      <x:c r="I100" s="10" t="str"/>
      <x:c r="J100" s="10" t="str">
        <x:v>Detoxification / stress</x:v>
      </x:c>
      <x:c r="K100" s="10" t="str">
        <x:v>infection_diet50</x:v>
      </x:c>
      <x:c r="L100" s="10" t="str"/>
      <x:c r="M100" s="10" t="str"/>
      <x:c r="N100" s="10" t="str"/>
    </x:row>
    <x:row r="101">
      <x:c r="A101" s="10" t="str">
        <x:v>LOC126273020</x:v>
      </x:c>
      <x:c r="B101" s="10" t="str">
        <x:v>uncharacterized LOC126273020</x:v>
      </x:c>
      <x:c r="C101" s="19" t="str">
        <x:f>IF(COUNTIF('Colleague 115'!$A$2:$A$116,A101)&gt;0,"Yes","No")</x:f>
        <x:v>No</x:v>
      </x:c>
      <x:c r="D101" s="19" t="str">
        <x:f>IF(COUNTIF('Volcano 402'!$A$2:$A$403,A101)&gt;0,"Yes","No")</x:f>
        <x:v>Yes</x:v>
      </x:c>
      <x:c r="E101" s="19" t="str">
        <x:f>IF(COUNTIF('Heatmap 169'!$A$2:$A$170,A101)&gt;0,"Yes","No")</x:f>
        <x:v>No</x:v>
      </x:c>
      <x:c r="F101" s="19" t="n">
        <x:f>COUNTIF(C101:E101,"Yes")</x:f>
        <x:v>1</x:v>
      </x:c>
      <x:c r="G101" s="10" t="str">
        <x:f>IF(F101=3,"All three",IF(F101=2,IF(C101="No","Volcano + heatmap",IF(D101="No","Colleague + heatmap","Colleague + volcano")),IF(C101="Yes","Colleague only",IF(D101="Yes","Volcano only","Heatmap only"))))</x:f>
        <x:v>Volcano only</x:v>
      </x:c>
      <x:c r="H101" s="10" t="str"/>
      <x:c r="I101" s="10" t="str"/>
      <x:c r="J101" s="10" t="str">
        <x:v>Antimicrobial peptides</x:v>
      </x:c>
      <x:c r="K101" s="10" t="str">
        <x:v>infected_diet33_vs50; infection_diet50</x:v>
      </x:c>
      <x:c r="L101" s="10" t="str"/>
      <x:c r="M101" s="10" t="str"/>
      <x:c r="N101" s="10" t="str"/>
    </x:row>
    <x:row r="102">
      <x:c r="A102" s="10" t="str">
        <x:v>LOC126273058</x:v>
      </x:c>
      <x:c r="B102" s="10" t="str">
        <x:v>cytochrome P450 6k1-like</x:v>
      </x:c>
      <x:c r="C102" s="19" t="str">
        <x:f>IF(COUNTIF('Colleague 115'!$A$2:$A$116,A102)&gt;0,"Yes","No")</x:f>
        <x:v>No</x:v>
      </x:c>
      <x:c r="D102" s="19" t="str">
        <x:f>IF(COUNTIF('Volcano 402'!$A$2:$A$403,A102)&gt;0,"Yes","No")</x:f>
        <x:v>Yes</x:v>
      </x:c>
      <x:c r="E102" s="19" t="str">
        <x:f>IF(COUNTIF('Heatmap 169'!$A$2:$A$170,A102)&gt;0,"Yes","No")</x:f>
        <x:v>No</x:v>
      </x:c>
      <x:c r="F102" s="19" t="n">
        <x:f>COUNTIF(C102:E102,"Yes")</x:f>
        <x:v>1</x:v>
      </x:c>
      <x:c r="G102" s="10" t="str">
        <x:f>IF(F102=3,"All three",IF(F102=2,IF(C102="No","Volcano + heatmap",IF(D102="No","Colleague + heatmap","Colleague + volcano")),IF(C102="Yes","Colleague only",IF(D102="Yes","Volcano only","Heatmap only"))))</x:f>
        <x:v>Volcano only</x:v>
      </x:c>
      <x:c r="H102" s="10" t="str"/>
      <x:c r="I102" s="10" t="str"/>
      <x:c r="J102" s="10" t="str">
        <x:v>Detoxification / stress</x:v>
      </x:c>
      <x:c r="K102" s="10" t="str">
        <x:v>infected_diet33_vs50</x:v>
      </x:c>
      <x:c r="L102" s="10" t="str"/>
      <x:c r="M102" s="10" t="str"/>
      <x:c r="N102" s="10" t="str"/>
    </x:row>
    <x:row r="103">
      <x:c r="A103" s="10" t="str">
        <x:v>LOC126273060</x:v>
      </x:c>
      <x:c r="B103" s="10" t="str"/>
      <x:c r="C103" s="19" t="str">
        <x:f>IF(COUNTIF('Colleague 115'!$A$2:$A$116,A103)&gt;0,"Yes","No")</x:f>
        <x:v>No</x:v>
      </x:c>
      <x:c r="D103" s="19" t="str">
        <x:f>IF(COUNTIF('Volcano 402'!$A$2:$A$403,A103)&gt;0,"Yes","No")</x:f>
        <x:v>No</x:v>
      </x:c>
      <x:c r="E103" s="19" t="str">
        <x:f>IF(COUNTIF('Heatmap 169'!$A$2:$A$170,A103)&gt;0,"Yes","No")</x:f>
        <x:v>Yes</x:v>
      </x:c>
      <x:c r="F103" s="19" t="n">
        <x:f>COUNTIF(C103:E103,"Yes")</x:f>
        <x:v>1</x:v>
      </x:c>
      <x:c r="G103" s="10" t="str">
        <x:f>IF(F103=3,"All three",IF(F103=2,IF(C103="No","Volcano + heatmap",IF(D103="No","Colleague + heatmap","Colleague + volcano")),IF(C103="Yes","Colleague only",IF(D103="Yes","Volcano only","Heatmap only"))))</x:f>
        <x:v>Heatmap only</x:v>
      </x:c>
      <x:c r="H103" s="10" t="str"/>
      <x:c r="I103" s="10" t="str"/>
      <x:c r="J103" s="10" t="str"/>
      <x:c r="K103" s="10" t="str"/>
      <x:c r="L103" s="10" t="str">
        <x:v>Top DEG</x:v>
      </x:c>
      <x:c r="M103" s="10" t="str">
        <x:v>Other strong DEG</x:v>
      </x:c>
      <x:c r="N103" s="10" t="str">
        <x:v>DEG</x:v>
      </x:c>
    </x:row>
    <x:row r="104">
      <x:c r="A104" s="10" t="str">
        <x:v>LOC126273067</x:v>
      </x:c>
      <x:c r="B104" s="10" t="str">
        <x:v>uncharacterized LOC126273067</x:v>
      </x:c>
      <x:c r="C104" s="19" t="str">
        <x:f>IF(COUNTIF('Colleague 115'!$A$2:$A$116,A104)&gt;0,"Yes","No")</x:f>
        <x:v>No</x:v>
      </x:c>
      <x:c r="D104" s="19" t="str">
        <x:f>IF(COUNTIF('Volcano 402'!$A$2:$A$403,A104)&gt;0,"Yes","No")</x:f>
        <x:v>Yes</x:v>
      </x:c>
      <x:c r="E104" s="19" t="str">
        <x:f>IF(COUNTIF('Heatmap 169'!$A$2:$A$170,A104)&gt;0,"Yes","No")</x:f>
        <x:v>No</x:v>
      </x:c>
      <x:c r="F104" s="19" t="n">
        <x:f>COUNTIF(C104:E104,"Yes")</x:f>
        <x:v>1</x:v>
      </x:c>
      <x:c r="G104" s="10" t="str">
        <x:f>IF(F104=3,"All three",IF(F104=2,IF(C104="No","Volcano + heatmap",IF(D104="No","Colleague + heatmap","Colleague + volcano")),IF(C104="Yes","Colleague only",IF(D104="Yes","Volcano only","Heatmap only"))))</x:f>
        <x:v>Volcano only</x:v>
      </x:c>
      <x:c r="H104" s="10" t="str"/>
      <x:c r="I104" s="10" t="str"/>
      <x:c r="J104" s="10" t="str">
        <x:v>Lipid synthesis / metabolism</x:v>
      </x:c>
      <x:c r="K104" s="10" t="str">
        <x:v>infected_diet33_vs50; infection_diet50</x:v>
      </x:c>
      <x:c r="L104" s="10" t="str"/>
      <x:c r="M104" s="10" t="str"/>
      <x:c r="N104" s="10" t="str"/>
    </x:row>
    <x:row r="105">
      <x:c r="A105" s="10" t="str">
        <x:v>LOC126273085</x:v>
      </x:c>
      <x:c r="B105" s="10" t="str">
        <x:v>probable cytochrome P450 6a13</x:v>
      </x:c>
      <x:c r="C105" s="19" t="str">
        <x:f>IF(COUNTIF('Colleague 115'!$A$2:$A$116,A105)&gt;0,"Yes","No")</x:f>
        <x:v>No</x:v>
      </x:c>
      <x:c r="D105" s="19" t="str">
        <x:f>IF(COUNTIF('Volcano 402'!$A$2:$A$403,A105)&gt;0,"Yes","No")</x:f>
        <x:v>Yes</x:v>
      </x:c>
      <x:c r="E105" s="19" t="str">
        <x:f>IF(COUNTIF('Heatmap 169'!$A$2:$A$170,A105)&gt;0,"Yes","No")</x:f>
        <x:v>No</x:v>
      </x:c>
      <x:c r="F105" s="19" t="n">
        <x:f>COUNTIF(C105:E105,"Yes")</x:f>
        <x:v>1</x:v>
      </x:c>
      <x:c r="G105" s="10" t="str">
        <x:f>IF(F105=3,"All three",IF(F105=2,IF(C105="No","Volcano + heatmap",IF(D105="No","Colleague + heatmap","Colleague + volcano")),IF(C105="Yes","Colleague only",IF(D105="Yes","Volcano only","Heatmap only"))))</x:f>
        <x:v>Volcano only</x:v>
      </x:c>
      <x:c r="H105" s="10" t="str"/>
      <x:c r="I105" s="10" t="str"/>
      <x:c r="J105" s="10" t="str">
        <x:v>Detoxification / stress</x:v>
      </x:c>
      <x:c r="K105" s="10" t="str">
        <x:v>infection_average_all_diets</x:v>
      </x:c>
      <x:c r="L105" s="10" t="str"/>
      <x:c r="M105" s="10" t="str"/>
      <x:c r="N105" s="10" t="str"/>
    </x:row>
    <x:row r="106">
      <x:c r="A106" s="10" t="str">
        <x:v>LOC126273117</x:v>
      </x:c>
      <x:c r="B106" s="10" t="str">
        <x:v>heme binding. It is involved in the biological process described with oxidation-reduction process</x:v>
      </x:c>
      <x:c r="C106" s="19" t="str">
        <x:f>IF(COUNTIF('Colleague 115'!$A$2:$A$116,A106)&gt;0,"Yes","No")</x:f>
        <x:v>No</x:v>
      </x:c>
      <x:c r="D106" s="19" t="str">
        <x:f>IF(COUNTIF('Volcano 402'!$A$2:$A$403,A106)&gt;0,"Yes","No")</x:f>
        <x:v>No</x:v>
      </x:c>
      <x:c r="E106" s="19" t="str">
        <x:f>IF(COUNTIF('Heatmap 169'!$A$2:$A$170,A106)&gt;0,"Yes","No")</x:f>
        <x:v>Yes</x:v>
      </x:c>
      <x:c r="F106" s="19" t="n">
        <x:f>COUNTIF(C106:E106,"Yes")</x:f>
        <x:v>1</x:v>
      </x:c>
      <x:c r="G106" s="10" t="str">
        <x:f>IF(F106=3,"All three",IF(F106=2,IF(C106="No","Volcano + heatmap",IF(D106="No","Colleague + heatmap","Colleague + volcano")),IF(C106="Yes","Colleague only",IF(D106="Yes","Volcano only","Heatmap only"))))</x:f>
        <x:v>Heatmap only</x:v>
      </x:c>
      <x:c r="H106" s="10" t="str"/>
      <x:c r="I106" s="10" t="str"/>
      <x:c r="J106" s="10" t="str"/>
      <x:c r="K106" s="10" t="str"/>
      <x:c r="L106" s="10" t="str">
        <x:v>Functional candidate</x:v>
      </x:c>
      <x:c r="M106" s="10" t="str">
        <x:v>Detoxification/stress</x:v>
      </x:c>
      <x:c r="N106" s="10" t="str">
        <x:v>Not DEG</x:v>
      </x:c>
    </x:row>
    <x:row r="107">
      <x:c r="A107" s="10" t="str">
        <x:v>LOC126273130</x:v>
      </x:c>
      <x:c r="B107" s="10" t="str">
        <x:v>esterase E4-like</x:v>
      </x:c>
      <x:c r="C107" s="19" t="str">
        <x:f>IF(COUNTIF('Colleague 115'!$A$2:$A$116,A107)&gt;0,"Yes","No")</x:f>
        <x:v>No</x:v>
      </x:c>
      <x:c r="D107" s="19" t="str">
        <x:f>IF(COUNTIF('Volcano 402'!$A$2:$A$403,A107)&gt;0,"Yes","No")</x:f>
        <x:v>Yes</x:v>
      </x:c>
      <x:c r="E107" s="19" t="str">
        <x:f>IF(COUNTIF('Heatmap 169'!$A$2:$A$170,A107)&gt;0,"Yes","No")</x:f>
        <x:v>No</x:v>
      </x:c>
      <x:c r="F107" s="19" t="n">
        <x:f>COUNTIF(C107:E107,"Yes")</x:f>
        <x:v>1</x:v>
      </x:c>
      <x:c r="G107" s="10" t="str">
        <x:f>IF(F107=3,"All three",IF(F107=2,IF(C107="No","Volcano + heatmap",IF(D107="No","Colleague + heatmap","Colleague + volcano")),IF(C107="Yes","Colleague only",IF(D107="Yes","Volcano only","Heatmap only"))))</x:f>
        <x:v>Volcano only</x:v>
      </x:c>
      <x:c r="H107" s="10" t="str"/>
      <x:c r="I107" s="10" t="str"/>
      <x:c r="J107" s="10" t="str">
        <x:v>Lipid synthesis / metabolism</x:v>
      </x:c>
      <x:c r="K107" s="10" t="str">
        <x:v>infection_average_all_diets; infection_diet33; infection_diet50; infection_diet83</x:v>
      </x:c>
      <x:c r="L107" s="10" t="str"/>
      <x:c r="M107" s="10" t="str"/>
      <x:c r="N107" s="10" t="str"/>
    </x:row>
    <x:row r="108">
      <x:c r="A108" s="10" t="str">
        <x:v>LOC126273193</x:v>
      </x:c>
      <x:c r="B108" s="10" t="str">
        <x:v>uncharacterized LOC126273193</x:v>
      </x:c>
      <x:c r="C108" s="19" t="str">
        <x:f>IF(COUNTIF('Colleague 115'!$A$2:$A$116,A108)&gt;0,"Yes","No")</x:f>
        <x:v>No</x:v>
      </x:c>
      <x:c r="D108" s="19" t="str">
        <x:f>IF(COUNTIF('Volcano 402'!$A$2:$A$403,A108)&gt;0,"Yes","No")</x:f>
        <x:v>Yes</x:v>
      </x:c>
      <x:c r="E108" s="19" t="str">
        <x:f>IF(COUNTIF('Heatmap 169'!$A$2:$A$170,A108)&gt;0,"Yes","No")</x:f>
        <x:v>No</x:v>
      </x:c>
      <x:c r="F108" s="19" t="n">
        <x:f>COUNTIF(C108:E108,"Yes")</x:f>
        <x:v>1</x:v>
      </x:c>
      <x:c r="G108" s="10" t="str">
        <x:f>IF(F108=3,"All three",IF(F108=2,IF(C108="No","Volcano + heatmap",IF(D108="No","Colleague + heatmap","Colleague + volcano")),IF(C108="Yes","Colleague only",IF(D108="Yes","Volcano only","Heatmap only"))))</x:f>
        <x:v>Volcano only</x:v>
      </x:c>
      <x:c r="H108" s="10" t="str"/>
      <x:c r="I108" s="10" t="str"/>
      <x:c r="J108" s="10" t="str">
        <x:v>Immune-related</x:v>
      </x:c>
      <x:c r="K108" s="10" t="str">
        <x:v>infected_diet33_vs50; infection_diet50</x:v>
      </x:c>
      <x:c r="L108" s="10" t="str"/>
      <x:c r="M108" s="10" t="str"/>
      <x:c r="N108" s="10" t="str"/>
    </x:row>
    <x:row r="109">
      <x:c r="A109" s="10" t="str">
        <x:v>LOC126273244</x:v>
      </x:c>
      <x:c r="B109" s="10" t="str">
        <x:v>venom carboxylesterase-6-like</x:v>
      </x:c>
      <x:c r="C109" s="19" t="str">
        <x:f>IF(COUNTIF('Colleague 115'!$A$2:$A$116,A109)&gt;0,"Yes","No")</x:f>
        <x:v>No</x:v>
      </x:c>
      <x:c r="D109" s="19" t="str">
        <x:f>IF(COUNTIF('Volcano 402'!$A$2:$A$403,A109)&gt;0,"Yes","No")</x:f>
        <x:v>Yes</x:v>
      </x:c>
      <x:c r="E109" s="19" t="str">
        <x:f>IF(COUNTIF('Heatmap 169'!$A$2:$A$170,A109)&gt;0,"Yes","No")</x:f>
        <x:v>No</x:v>
      </x:c>
      <x:c r="F109" s="19" t="n">
        <x:f>COUNTIF(C109:E109,"Yes")</x:f>
        <x:v>1</x:v>
      </x:c>
      <x:c r="G109" s="10" t="str">
        <x:f>IF(F109=3,"All three",IF(F109=2,IF(C109="No","Volcano + heatmap",IF(D109="No","Colleague + heatmap","Colleague + volcano")),IF(C109="Yes","Colleague only",IF(D109="Yes","Volcano only","Heatmap only"))))</x:f>
        <x:v>Volcano only</x:v>
      </x:c>
      <x:c r="H109" s="10" t="str"/>
      <x:c r="I109" s="10" t="str"/>
      <x:c r="J109" s="10" t="str">
        <x:v>Lipid synthesis / metabolism</x:v>
      </x:c>
      <x:c r="K109" s="10" t="str">
        <x:v>infection_average_all_diets</x:v>
      </x:c>
      <x:c r="L109" s="10" t="str"/>
      <x:c r="M109" s="10" t="str"/>
      <x:c r="N109" s="10" t="str"/>
    </x:row>
    <x:row r="110">
      <x:c r="A110" s="10" t="str">
        <x:v>LOC126273349</x:v>
      </x:c>
      <x:c r="B110" s="10" t="str">
        <x:v>cytochrome P450 6k1-like</x:v>
      </x:c>
      <x:c r="C110" s="19" t="str">
        <x:f>IF(COUNTIF('Colleague 115'!$A$2:$A$116,A110)&gt;0,"Yes","No")</x:f>
        <x:v>No</x:v>
      </x:c>
      <x:c r="D110" s="19" t="str">
        <x:f>IF(COUNTIF('Volcano 402'!$A$2:$A$403,A110)&gt;0,"Yes","No")</x:f>
        <x:v>Yes</x:v>
      </x:c>
      <x:c r="E110" s="19" t="str">
        <x:f>IF(COUNTIF('Heatmap 169'!$A$2:$A$170,A110)&gt;0,"Yes","No")</x:f>
        <x:v>No</x:v>
      </x:c>
      <x:c r="F110" s="19" t="n">
        <x:f>COUNTIF(C110:E110,"Yes")</x:f>
        <x:v>1</x:v>
      </x:c>
      <x:c r="G110" s="10" t="str">
        <x:f>IF(F110=3,"All three",IF(F110=2,IF(C110="No","Volcano + heatmap",IF(D110="No","Colleague + heatmap","Colleague + volcano")),IF(C110="Yes","Colleague only",IF(D110="Yes","Volcano only","Heatmap only"))))</x:f>
        <x:v>Volcano only</x:v>
      </x:c>
      <x:c r="H110" s="10" t="str"/>
      <x:c r="I110" s="10" t="str"/>
      <x:c r="J110" s="10" t="str">
        <x:v>Detoxification / stress</x:v>
      </x:c>
      <x:c r="K110" s="10" t="str">
        <x:v>infection_average_all_diets</x:v>
      </x:c>
      <x:c r="L110" s="10" t="str"/>
      <x:c r="M110" s="10" t="str"/>
      <x:c r="N110" s="10" t="str"/>
    </x:row>
    <x:row r="111">
      <x:c r="A111" s="10" t="str">
        <x:v>LOC126273412</x:v>
      </x:c>
      <x:c r="B111" s="10" t="str"/>
      <x:c r="C111" s="19" t="str">
        <x:f>IF(COUNTIF('Colleague 115'!$A$2:$A$116,A111)&gt;0,"Yes","No")</x:f>
        <x:v>No</x:v>
      </x:c>
      <x:c r="D111" s="19" t="str">
        <x:f>IF(COUNTIF('Volcano 402'!$A$2:$A$403,A111)&gt;0,"Yes","No")</x:f>
        <x:v>No</x:v>
      </x:c>
      <x:c r="E111" s="19" t="str">
        <x:f>IF(COUNTIF('Heatmap 169'!$A$2:$A$170,A111)&gt;0,"Yes","No")</x:f>
        <x:v>Yes</x:v>
      </x:c>
      <x:c r="F111" s="19" t="n">
        <x:f>COUNTIF(C111:E111,"Yes")</x:f>
        <x:v>1</x:v>
      </x:c>
      <x:c r="G111" s="10" t="str">
        <x:f>IF(F111=3,"All three",IF(F111=2,IF(C111="No","Volcano + heatmap",IF(D111="No","Colleague + heatmap","Colleague + volcano")),IF(C111="Yes","Colleague only",IF(D111="Yes","Volcano only","Heatmap only"))))</x:f>
        <x:v>Heatmap only</x:v>
      </x:c>
      <x:c r="H111" s="10" t="str"/>
      <x:c r="I111" s="10" t="str"/>
      <x:c r="J111" s="10" t="str"/>
      <x:c r="K111" s="10" t="str"/>
      <x:c r="L111" s="10" t="str">
        <x:v>Top DEG</x:v>
      </x:c>
      <x:c r="M111" s="10" t="str">
        <x:v>Other strong DEG</x:v>
      </x:c>
      <x:c r="N111" s="10" t="str">
        <x:v>DEG</x:v>
      </x:c>
    </x:row>
    <x:row r="112">
      <x:c r="A112" s="10" t="str">
        <x:v>LOC126273423</x:v>
      </x:c>
      <x:c r="B112" s="10" t="str">
        <x:v>lipid storage droplets surface-binding protein 1</x:v>
      </x:c>
      <x:c r="C112" s="19" t="str">
        <x:f>IF(COUNTIF('Colleague 115'!$A$2:$A$116,A112)&gt;0,"Yes","No")</x:f>
        <x:v>No</x:v>
      </x:c>
      <x:c r="D112" s="19" t="str">
        <x:f>IF(COUNTIF('Volcano 402'!$A$2:$A$403,A112)&gt;0,"Yes","No")</x:f>
        <x:v>Yes</x:v>
      </x:c>
      <x:c r="E112" s="19" t="str">
        <x:f>IF(COUNTIF('Heatmap 169'!$A$2:$A$170,A112)&gt;0,"Yes","No")</x:f>
        <x:v>No</x:v>
      </x:c>
      <x:c r="F112" s="19" t="n">
        <x:f>COUNTIF(C112:E112,"Yes")</x:f>
        <x:v>1</x:v>
      </x:c>
      <x:c r="G112" s="10" t="str">
        <x:f>IF(F112=3,"All three",IF(F112=2,IF(C112="No","Volcano + heatmap",IF(D112="No","Colleague + heatmap","Colleague + volcano")),IF(C112="Yes","Colleague only",IF(D112="Yes","Volcano only","Heatmap only"))))</x:f>
        <x:v>Volcano only</x:v>
      </x:c>
      <x:c r="H112" s="10" t="str"/>
      <x:c r="I112" s="10" t="str"/>
      <x:c r="J112" s="10" t="str">
        <x:v>Lipid synthesis / metabolism</x:v>
      </x:c>
      <x:c r="K112" s="10" t="str">
        <x:v>infection_average_all_diets; infection_diet50</x:v>
      </x:c>
      <x:c r="L112" s="10" t="str"/>
      <x:c r="M112" s="10" t="str"/>
      <x:c r="N112" s="10" t="str"/>
    </x:row>
    <x:row r="113">
      <x:c r="A113" s="10" t="str">
        <x:v>LOC126273784</x:v>
      </x:c>
      <x:c r="B113" s="10" t="str">
        <x:v>uncharacterized LOC126273784</x:v>
      </x:c>
      <x:c r="C113" s="19" t="str">
        <x:f>IF(COUNTIF('Colleague 115'!$A$2:$A$116,A113)&gt;0,"Yes","No")</x:f>
        <x:v>No</x:v>
      </x:c>
      <x:c r="D113" s="19" t="str">
        <x:f>IF(COUNTIF('Volcano 402'!$A$2:$A$403,A113)&gt;0,"Yes","No")</x:f>
        <x:v>Yes</x:v>
      </x:c>
      <x:c r="E113" s="19" t="str">
        <x:f>IF(COUNTIF('Heatmap 169'!$A$2:$A$170,A113)&gt;0,"Yes","No")</x:f>
        <x:v>No</x:v>
      </x:c>
      <x:c r="F113" s="19" t="n">
        <x:f>COUNTIF(C113:E113,"Yes")</x:f>
        <x:v>1</x:v>
      </x:c>
      <x:c r="G113" s="10" t="str">
        <x:f>IF(F113=3,"All three",IF(F113=2,IF(C113="No","Volcano + heatmap",IF(D113="No","Colleague + heatmap","Colleague + volcano")),IF(C113="Yes","Colleague only",IF(D113="Yes","Volcano only","Heatmap only"))))</x:f>
        <x:v>Volcano only</x:v>
      </x:c>
      <x:c r="H113" s="10" t="str"/>
      <x:c r="I113" s="10" t="str"/>
      <x:c r="J113" s="10" t="str">
        <x:v>Lipid synthesis / metabolism</x:v>
      </x:c>
      <x:c r="K113" s="10" t="str">
        <x:v>infection_average_all_diets; infection_diet33; infection_diet50; infection_diet83</x:v>
      </x:c>
      <x:c r="L113" s="10" t="str"/>
      <x:c r="M113" s="10" t="str"/>
      <x:c r="N113" s="10" t="str"/>
    </x:row>
    <x:row r="114">
      <x:c r="A114" s="10" t="str">
        <x:v>LOC126274609</x:v>
      </x:c>
      <x:c r="B114" s="10" t="str">
        <x:v>superoxide dismutase [Cu-Zn]-like</x:v>
      </x:c>
      <x:c r="C114" s="19" t="str">
        <x:f>IF(COUNTIF('Colleague 115'!$A$2:$A$116,A114)&gt;0,"Yes","No")</x:f>
        <x:v>No</x:v>
      </x:c>
      <x:c r="D114" s="19" t="str">
        <x:f>IF(COUNTIF('Volcano 402'!$A$2:$A$403,A114)&gt;0,"Yes","No")</x:f>
        <x:v>Yes</x:v>
      </x:c>
      <x:c r="E114" s="19" t="str">
        <x:f>IF(COUNTIF('Heatmap 169'!$A$2:$A$170,A114)&gt;0,"Yes","No")</x:f>
        <x:v>No</x:v>
      </x:c>
      <x:c r="F114" s="19" t="n">
        <x:f>COUNTIF(C114:E114,"Yes")</x:f>
        <x:v>1</x:v>
      </x:c>
      <x:c r="G114" s="10" t="str">
        <x:f>IF(F114=3,"All three",IF(F114=2,IF(C114="No","Volcano + heatmap",IF(D114="No","Colleague + heatmap","Colleague + volcano")),IF(C114="Yes","Colleague only",IF(D114="Yes","Volcano only","Heatmap only"))))</x:f>
        <x:v>Volcano only</x:v>
      </x:c>
      <x:c r="H114" s="10" t="str"/>
      <x:c r="I114" s="10" t="str"/>
      <x:c r="J114" s="10" t="str">
        <x:v>Detoxification / stress</x:v>
      </x:c>
      <x:c r="K114" s="10" t="str">
        <x:v>infected_diet83_vs33; infection_diet83</x:v>
      </x:c>
      <x:c r="L114" s="10" t="str"/>
      <x:c r="M114" s="10" t="str"/>
      <x:c r="N114" s="10" t="str"/>
    </x:row>
    <x:row r="115">
      <x:c r="A115" s="10" t="str">
        <x:v>LOC126275659</x:v>
      </x:c>
      <x:c r="B115" s="10" t="str">
        <x:v>short/branched chain specific acyl-CoA dehydrogenase, mitochondrial</x:v>
      </x:c>
      <x:c r="C115" s="19" t="str">
        <x:f>IF(COUNTIF('Colleague 115'!$A$2:$A$116,A115)&gt;0,"Yes","No")</x:f>
        <x:v>No</x:v>
      </x:c>
      <x:c r="D115" s="19" t="str">
        <x:f>IF(COUNTIF('Volcano 402'!$A$2:$A$403,A115)&gt;0,"Yes","No")</x:f>
        <x:v>Yes</x:v>
      </x:c>
      <x:c r="E115" s="19" t="str">
        <x:f>IF(COUNTIF('Heatmap 169'!$A$2:$A$170,A115)&gt;0,"Yes","No")</x:f>
        <x:v>No</x:v>
      </x:c>
      <x:c r="F115" s="19" t="n">
        <x:f>COUNTIF(C115:E115,"Yes")</x:f>
        <x:v>1</x:v>
      </x:c>
      <x:c r="G115" s="10" t="str">
        <x:f>IF(F115=3,"All three",IF(F115=2,IF(C115="No","Volcano + heatmap",IF(D115="No","Colleague + heatmap","Colleague + volcano")),IF(C115="Yes","Colleague only",IF(D115="Yes","Volcano only","Heatmap only"))))</x:f>
        <x:v>Volcano only</x:v>
      </x:c>
      <x:c r="H115" s="10" t="str"/>
      <x:c r="I115" s="10" t="str"/>
      <x:c r="J115" s="10" t="str">
        <x:v>Lipid synthesis / metabolism</x:v>
      </x:c>
      <x:c r="K115" s="10" t="str">
        <x:v>infection_diet83</x:v>
      </x:c>
      <x:c r="L115" s="10" t="str"/>
      <x:c r="M115" s="10" t="str"/>
      <x:c r="N115" s="10" t="str"/>
    </x:row>
    <x:row r="116">
      <x:c r="A116" s="10" t="str">
        <x:v>LOC126276533</x:v>
      </x:c>
      <x:c r="B116" s="10" t="str">
        <x:v>catalase</x:v>
      </x:c>
      <x:c r="C116" s="19" t="str">
        <x:f>IF(COUNTIF('Colleague 115'!$A$2:$A$116,A116)&gt;0,"Yes","No")</x:f>
        <x:v>No</x:v>
      </x:c>
      <x:c r="D116" s="19" t="str">
        <x:f>IF(COUNTIF('Volcano 402'!$A$2:$A$403,A116)&gt;0,"Yes","No")</x:f>
        <x:v>Yes</x:v>
      </x:c>
      <x:c r="E116" s="19" t="str">
        <x:f>IF(COUNTIF('Heatmap 169'!$A$2:$A$170,A116)&gt;0,"Yes","No")</x:f>
        <x:v>No</x:v>
      </x:c>
      <x:c r="F116" s="19" t="n">
        <x:f>COUNTIF(C116:E116,"Yes")</x:f>
        <x:v>1</x:v>
      </x:c>
      <x:c r="G116" s="10" t="str">
        <x:f>IF(F116=3,"All three",IF(F116=2,IF(C116="No","Volcano + heatmap",IF(D116="No","Colleague + heatmap","Colleague + volcano")),IF(C116="Yes","Colleague only",IF(D116="Yes","Volcano only","Heatmap only"))))</x:f>
        <x:v>Volcano only</x:v>
      </x:c>
      <x:c r="H116" s="10" t="str"/>
      <x:c r="I116" s="10" t="str"/>
      <x:c r="J116" s="10" t="str">
        <x:v>Detoxification / stress</x:v>
      </x:c>
      <x:c r="K116" s="10" t="str">
        <x:v>infection_diet83</x:v>
      </x:c>
      <x:c r="L116" s="10" t="str"/>
      <x:c r="M116" s="10" t="str"/>
      <x:c r="N116" s="10" t="str"/>
    </x:row>
    <x:row r="117">
      <x:c r="A117" s="10" t="str">
        <x:v>LOC126277383</x:v>
      </x:c>
      <x:c r="B117" s="10" t="str">
        <x:v>putative lysozyme-like protein</x:v>
      </x:c>
      <x:c r="C117" s="19" t="str">
        <x:f>IF(COUNTIF('Colleague 115'!$A$2:$A$116,A117)&gt;0,"Yes","No")</x:f>
        <x:v>Yes</x:v>
      </x:c>
      <x:c r="D117" s="19" t="str">
        <x:f>IF(COUNTIF('Volcano 402'!$A$2:$A$403,A117)&gt;0,"Yes","No")</x:f>
        <x:v>Yes</x:v>
      </x:c>
      <x:c r="E117" s="19" t="str">
        <x:f>IF(COUNTIF('Heatmap 169'!$A$2:$A$170,A117)&gt;0,"Yes","No")</x:f>
        <x:v>No</x:v>
      </x:c>
      <x:c r="F117" s="19" t="n">
        <x:f>COUNTIF(C117:E117,"Yes")</x:f>
        <x:v>2</x:v>
      </x:c>
      <x:c r="G117" s="10" t="str">
        <x:f>IF(F117=3,"All three",IF(F117=2,IF(C117="No","Volcano + heatmap",IF(D117="No","Colleague + heatmap","Colleague + volcano")),IF(C117="Yes","Colleague only",IF(D117="Yes","Volcano only","Heatmap only"))))</x:f>
        <x:v>Colleague + volcano</x:v>
      </x:c>
      <x:c r="H117" s="10" t="str">
        <x:v>Humoral Immunity</x:v>
      </x:c>
      <x:c r="I117" s="10" t="str">
        <x:v>Antimicrobial Peptides (AMPs)</x:v>
      </x:c>
      <x:c r="J117" s="10" t="str">
        <x:v>Antimicrobial peptides</x:v>
      </x:c>
      <x:c r="K117" s="10" t="str">
        <x:v>infection_average_all_diets; infection_diet33; infection_diet50; infection_diet83</x:v>
      </x:c>
      <x:c r="L117" s="10" t="str"/>
      <x:c r="M117" s="10" t="str"/>
      <x:c r="N117" s="10" t="str"/>
    </x:row>
    <x:row r="118">
      <x:c r="A118" s="10" t="str">
        <x:v>LOC126277885</x:v>
      </x:c>
      <x:c r="B118" s="10" t="str">
        <x:v>Immunoglobulin C-2 Type</x:v>
      </x:c>
      <x:c r="C118" s="19" t="str">
        <x:f>IF(COUNTIF('Colleague 115'!$A$2:$A$116,A118)&gt;0,"Yes","No")</x:f>
        <x:v>No</x:v>
      </x:c>
      <x:c r="D118" s="19" t="str">
        <x:f>IF(COUNTIF('Volcano 402'!$A$2:$A$403,A118)&gt;0,"Yes","No")</x:f>
        <x:v>No</x:v>
      </x:c>
      <x:c r="E118" s="19" t="str">
        <x:f>IF(COUNTIF('Heatmap 169'!$A$2:$A$170,A118)&gt;0,"Yes","No")</x:f>
        <x:v>Yes</x:v>
      </x:c>
      <x:c r="F118" s="19" t="n">
        <x:f>COUNTIF(C118:E118,"Yes")</x:f>
        <x:v>1</x:v>
      </x:c>
      <x:c r="G118" s="10" t="str">
        <x:f>IF(F118=3,"All three",IF(F118=2,IF(C118="No","Volcano + heatmap",IF(D118="No","Colleague + heatmap","Colleague + volcano")),IF(C118="Yes","Colleague only",IF(D118="Yes","Volcano only","Heatmap only"))))</x:f>
        <x:v>Heatmap only</x:v>
      </x:c>
      <x:c r="H118" s="10" t="str"/>
      <x:c r="I118" s="10" t="str"/>
      <x:c r="J118" s="10" t="str"/>
      <x:c r="K118" s="10" t="str"/>
      <x:c r="L118" s="10" t="str">
        <x:v>Functional candidate</x:v>
      </x:c>
      <x:c r="M118" s="10" t="str">
        <x:v>Immune-related</x:v>
      </x:c>
      <x:c r="N118" s="10" t="str">
        <x:v>Not DEG</x:v>
      </x:c>
    </x:row>
    <x:row r="119">
      <x:c r="A119" s="10" t="str">
        <x:v>LOC126278002</x:v>
      </x:c>
      <x:c r="B119" s="10" t="str">
        <x:v>medium-chain acyl-CoA ligase ACSF2, mitochondrial-like</x:v>
      </x:c>
      <x:c r="C119" s="19" t="str">
        <x:f>IF(COUNTIF('Colleague 115'!$A$2:$A$116,A119)&gt;0,"Yes","No")</x:f>
        <x:v>No</x:v>
      </x:c>
      <x:c r="D119" s="19" t="str">
        <x:f>IF(COUNTIF('Volcano 402'!$A$2:$A$403,A119)&gt;0,"Yes","No")</x:f>
        <x:v>Yes</x:v>
      </x:c>
      <x:c r="E119" s="19" t="str">
        <x:f>IF(COUNTIF('Heatmap 169'!$A$2:$A$170,A119)&gt;0,"Yes","No")</x:f>
        <x:v>No</x:v>
      </x:c>
      <x:c r="F119" s="19" t="n">
        <x:f>COUNTIF(C119:E119,"Yes")</x:f>
        <x:v>1</x:v>
      </x:c>
      <x:c r="G119" s="10" t="str">
        <x:f>IF(F119=3,"All three",IF(F119=2,IF(C119="No","Volcano + heatmap",IF(D119="No","Colleague + heatmap","Colleague + volcano")),IF(C119="Yes","Colleague only",IF(D119="Yes","Volcano only","Heatmap only"))))</x:f>
        <x:v>Volcano only</x:v>
      </x:c>
      <x:c r="H119" s="10" t="str"/>
      <x:c r="I119" s="10" t="str"/>
      <x:c r="J119" s="10" t="str">
        <x:v>Lipid synthesis / metabolism</x:v>
      </x:c>
      <x:c r="K119" s="10" t="str">
        <x:v>infection_average_all_diets; infection_diet33; infection_diet50</x:v>
      </x:c>
      <x:c r="L119" s="10" t="str"/>
      <x:c r="M119" s="10" t="str"/>
      <x:c r="N119" s="10" t="str"/>
    </x:row>
    <x:row r="120">
      <x:c r="A120" s="10" t="str">
        <x:v>LOC126278040</x:v>
      </x:c>
      <x:c r="B120" s="10" t="str">
        <x:v>medium-chain acyl-CoA ligase ACSF2, mitochondrial-like</x:v>
      </x:c>
      <x:c r="C120" s="19" t="str">
        <x:f>IF(COUNTIF('Colleague 115'!$A$2:$A$116,A120)&gt;0,"Yes","No")</x:f>
        <x:v>No</x:v>
      </x:c>
      <x:c r="D120" s="19" t="str">
        <x:f>IF(COUNTIF('Volcano 402'!$A$2:$A$403,A120)&gt;0,"Yes","No")</x:f>
        <x:v>Yes</x:v>
      </x:c>
      <x:c r="E120" s="19" t="str">
        <x:f>IF(COUNTIF('Heatmap 169'!$A$2:$A$170,A120)&gt;0,"Yes","No")</x:f>
        <x:v>No</x:v>
      </x:c>
      <x:c r="F120" s="19" t="n">
        <x:f>COUNTIF(C120:E120,"Yes")</x:f>
        <x:v>1</x:v>
      </x:c>
      <x:c r="G120" s="10" t="str">
        <x:f>IF(F120=3,"All three",IF(F120=2,IF(C120="No","Volcano + heatmap",IF(D120="No","Colleague + heatmap","Colleague + volcano")),IF(C120="Yes","Colleague only",IF(D120="Yes","Volcano only","Heatmap only"))))</x:f>
        <x:v>Volcano only</x:v>
      </x:c>
      <x:c r="H120" s="10" t="str"/>
      <x:c r="I120" s="10" t="str"/>
      <x:c r="J120" s="10" t="str">
        <x:v>Lipid synthesis / metabolism</x:v>
      </x:c>
      <x:c r="K120" s="10" t="str">
        <x:v>infection_diet33</x:v>
      </x:c>
      <x:c r="L120" s="10" t="str"/>
      <x:c r="M120" s="10" t="str"/>
      <x:c r="N120" s="10" t="str"/>
    </x:row>
    <x:row r="121">
      <x:c r="A121" s="10" t="str">
        <x:v>LOC126278041</x:v>
      </x:c>
      <x:c r="B121" s="10" t="str">
        <x:v>cholinesterase 2-like</x:v>
      </x:c>
      <x:c r="C121" s="19" t="str">
        <x:f>IF(COUNTIF('Colleague 115'!$A$2:$A$116,A121)&gt;0,"Yes","No")</x:f>
        <x:v>No</x:v>
      </x:c>
      <x:c r="D121" s="19" t="str">
        <x:f>IF(COUNTIF('Volcano 402'!$A$2:$A$403,A121)&gt;0,"Yes","No")</x:f>
        <x:v>Yes</x:v>
      </x:c>
      <x:c r="E121" s="19" t="str">
        <x:f>IF(COUNTIF('Heatmap 169'!$A$2:$A$170,A121)&gt;0,"Yes","No")</x:f>
        <x:v>No</x:v>
      </x:c>
      <x:c r="F121" s="19" t="n">
        <x:f>COUNTIF(C121:E121,"Yes")</x:f>
        <x:v>1</x:v>
      </x:c>
      <x:c r="G121" s="10" t="str">
        <x:f>IF(F121=3,"All three",IF(F121=2,IF(C121="No","Volcano + heatmap",IF(D121="No","Colleague + heatmap","Colleague + volcano")),IF(C121="Yes","Colleague only",IF(D121="Yes","Volcano only","Heatmap only"))))</x:f>
        <x:v>Volcano only</x:v>
      </x:c>
      <x:c r="H121" s="10" t="str"/>
      <x:c r="I121" s="10" t="str"/>
      <x:c r="J121" s="10" t="str">
        <x:v>Detoxification / stress</x:v>
      </x:c>
      <x:c r="K121" s="10" t="str">
        <x:v>infection_diet50</x:v>
      </x:c>
      <x:c r="L121" s="10" t="str"/>
      <x:c r="M121" s="10" t="str"/>
      <x:c r="N121" s="10" t="str"/>
    </x:row>
    <x:row r="122">
      <x:c r="A122" s="10" t="str">
        <x:v>LOC126278049</x:v>
      </x:c>
      <x:c r="B122" s="10" t="str">
        <x:v>SOCS_box</x:v>
      </x:c>
      <x:c r="C122" s="19" t="str">
        <x:f>IF(COUNTIF('Colleague 115'!$A$2:$A$116,A122)&gt;0,"Yes","No")</x:f>
        <x:v>No</x:v>
      </x:c>
      <x:c r="D122" s="19" t="str">
        <x:f>IF(COUNTIF('Volcano 402'!$A$2:$A$403,A122)&gt;0,"Yes","No")</x:f>
        <x:v>No</x:v>
      </x:c>
      <x:c r="E122" s="19" t="str">
        <x:f>IF(COUNTIF('Heatmap 169'!$A$2:$A$170,A122)&gt;0,"Yes","No")</x:f>
        <x:v>Yes</x:v>
      </x:c>
      <x:c r="F122" s="19" t="n">
        <x:f>COUNTIF(C122:E122,"Yes")</x:f>
        <x:v>1</x:v>
      </x:c>
      <x:c r="G122" s="10" t="str">
        <x:f>IF(F122=3,"All three",IF(F122=2,IF(C122="No","Volcano + heatmap",IF(D122="No","Colleague + heatmap","Colleague + volcano")),IF(C122="Yes","Colleague only",IF(D122="Yes","Volcano only","Heatmap only"))))</x:f>
        <x:v>Heatmap only</x:v>
      </x:c>
      <x:c r="H122" s="10" t="str"/>
      <x:c r="I122" s="10" t="str"/>
      <x:c r="J122" s="10" t="str"/>
      <x:c r="K122" s="10" t="str"/>
      <x:c r="L122" s="10" t="str">
        <x:v>Top DEG</x:v>
      </x:c>
      <x:c r="M122" s="10" t="str">
        <x:v>Other strong DEG</x:v>
      </x:c>
      <x:c r="N122" s="10" t="str">
        <x:v>DEG</x:v>
      </x:c>
    </x:row>
    <x:row r="123">
      <x:c r="A123" s="10" t="str">
        <x:v>LOC126278068</x:v>
      </x:c>
      <x:c r="B123" s="10" t="str">
        <x:v>lipase 3-like</x:v>
      </x:c>
      <x:c r="C123" s="19" t="str">
        <x:f>IF(COUNTIF('Colleague 115'!$A$2:$A$116,A123)&gt;0,"Yes","No")</x:f>
        <x:v>No</x:v>
      </x:c>
      <x:c r="D123" s="19" t="str">
        <x:f>IF(COUNTIF('Volcano 402'!$A$2:$A$403,A123)&gt;0,"Yes","No")</x:f>
        <x:v>Yes</x:v>
      </x:c>
      <x:c r="E123" s="19" t="str">
        <x:f>IF(COUNTIF('Heatmap 169'!$A$2:$A$170,A123)&gt;0,"Yes","No")</x:f>
        <x:v>No</x:v>
      </x:c>
      <x:c r="F123" s="19" t="n">
        <x:f>COUNTIF(C123:E123,"Yes")</x:f>
        <x:v>1</x:v>
      </x:c>
      <x:c r="G123" s="10" t="str">
        <x:f>IF(F123=3,"All three",IF(F123=2,IF(C123="No","Volcano + heatmap",IF(D123="No","Colleague + heatmap","Colleague + volcano")),IF(C123="Yes","Colleague only",IF(D123="Yes","Volcano only","Heatmap only"))))</x:f>
        <x:v>Volcano only</x:v>
      </x:c>
      <x:c r="H123" s="10" t="str"/>
      <x:c r="I123" s="10" t="str"/>
      <x:c r="J123" s="10" t="str">
        <x:v>Lipid synthesis / metabolism</x:v>
      </x:c>
      <x:c r="K123" s="10" t="str">
        <x:v>infection_average_all_diets; infection_diet33; infection_diet50; infection_diet83</x:v>
      </x:c>
      <x:c r="L123" s="10" t="str"/>
      <x:c r="M123" s="10" t="str"/>
      <x:c r="N123" s="10" t="str"/>
    </x:row>
    <x:row r="124">
      <x:c r="A124" s="10" t="str">
        <x:v>LOC126278130</x:v>
      </x:c>
      <x:c r="B124" s="10" t="str">
        <x:v>Transmembrane transporter activity. It is involved in the biological process described with transmembrane transport</x:v>
      </x:c>
      <x:c r="C124" s="19" t="str">
        <x:f>IF(COUNTIF('Colleague 115'!$A$2:$A$116,A124)&gt;0,"Yes","No")</x:f>
        <x:v>No</x:v>
      </x:c>
      <x:c r="D124" s="19" t="str">
        <x:f>IF(COUNTIF('Volcano 402'!$A$2:$A$403,A124)&gt;0,"Yes","No")</x:f>
        <x:v>No</x:v>
      </x:c>
      <x:c r="E124" s="19" t="str">
        <x:f>IF(COUNTIF('Heatmap 169'!$A$2:$A$170,A124)&gt;0,"Yes","No")</x:f>
        <x:v>Yes</x:v>
      </x:c>
      <x:c r="F124" s="19" t="n">
        <x:f>COUNTIF(C124:E124,"Yes")</x:f>
        <x:v>1</x:v>
      </x:c>
      <x:c r="G124" s="10" t="str">
        <x:f>IF(F124=3,"All three",IF(F124=2,IF(C124="No","Volcano + heatmap",IF(D124="No","Colleague + heatmap","Colleague + volcano")),IF(C124="Yes","Colleague only",IF(D124="Yes","Volcano only","Heatmap only"))))</x:f>
        <x:v>Heatmap only</x:v>
      </x:c>
      <x:c r="H124" s="10" t="str"/>
      <x:c r="I124" s="10" t="str"/>
      <x:c r="J124" s="10" t="str"/>
      <x:c r="K124" s="10" t="str"/>
      <x:c r="L124" s="10" t="str">
        <x:v>Functional candidate</x:v>
      </x:c>
      <x:c r="M124" s="10" t="str">
        <x:v>Nutrition/metabolism</x:v>
      </x:c>
      <x:c r="N124" s="10" t="str">
        <x:v>Not DEG</x:v>
      </x:c>
    </x:row>
    <x:row r="125">
      <x:c r="A125" s="10" t="str">
        <x:v>LOC126278132</x:v>
      </x:c>
      <x:c r="B125" s="10" t="str">
        <x:v>Transmembrane transporter activity. It is involved in the biological process described with transmembrane transport</x:v>
      </x:c>
      <x:c r="C125" s="19" t="str">
        <x:f>IF(COUNTIF('Colleague 115'!$A$2:$A$116,A125)&gt;0,"Yes","No")</x:f>
        <x:v>No</x:v>
      </x:c>
      <x:c r="D125" s="19" t="str">
        <x:f>IF(COUNTIF('Volcano 402'!$A$2:$A$403,A125)&gt;0,"Yes","No")</x:f>
        <x:v>No</x:v>
      </x:c>
      <x:c r="E125" s="19" t="str">
        <x:f>IF(COUNTIF('Heatmap 169'!$A$2:$A$170,A125)&gt;0,"Yes","No")</x:f>
        <x:v>Yes</x:v>
      </x:c>
      <x:c r="F125" s="19" t="n">
        <x:f>COUNTIF(C125:E125,"Yes")</x:f>
        <x:v>1</x:v>
      </x:c>
      <x:c r="G125" s="10" t="str">
        <x:f>IF(F125=3,"All three",IF(F125=2,IF(C125="No","Volcano + heatmap",IF(D125="No","Colleague + heatmap","Colleague + volcano")),IF(C125="Yes","Colleague only",IF(D125="Yes","Volcano only","Heatmap only"))))</x:f>
        <x:v>Heatmap only</x:v>
      </x:c>
      <x:c r="H125" s="10" t="str"/>
      <x:c r="I125" s="10" t="str"/>
      <x:c r="J125" s="10" t="str"/>
      <x:c r="K125" s="10" t="str"/>
      <x:c r="L125" s="10" t="str">
        <x:v>Functional candidate</x:v>
      </x:c>
      <x:c r="M125" s="10" t="str">
        <x:v>Nutrition/metabolism</x:v>
      </x:c>
      <x:c r="N125" s="10" t="str">
        <x:v>Not DEG</x:v>
      </x:c>
    </x:row>
    <x:row r="126">
      <x:c r="A126" s="10" t="str">
        <x:v>LOC126278148</x:v>
      </x:c>
      <x:c r="B126" s="10" t="str">
        <x:v>phospholipase A1 member A-like</x:v>
      </x:c>
      <x:c r="C126" s="19" t="str">
        <x:f>IF(COUNTIF('Colleague 115'!$A$2:$A$116,A126)&gt;0,"Yes","No")</x:f>
        <x:v>No</x:v>
      </x:c>
      <x:c r="D126" s="19" t="str">
        <x:f>IF(COUNTIF('Volcano 402'!$A$2:$A$403,A126)&gt;0,"Yes","No")</x:f>
        <x:v>Yes</x:v>
      </x:c>
      <x:c r="E126" s="19" t="str">
        <x:f>IF(COUNTIF('Heatmap 169'!$A$2:$A$170,A126)&gt;0,"Yes","No")</x:f>
        <x:v>No</x:v>
      </x:c>
      <x:c r="F126" s="19" t="n">
        <x:f>COUNTIF(C126:E126,"Yes")</x:f>
        <x:v>1</x:v>
      </x:c>
      <x:c r="G126" s="10" t="str">
        <x:f>IF(F126=3,"All three",IF(F126=2,IF(C126="No","Volcano + heatmap",IF(D126="No","Colleague + heatmap","Colleague + volcano")),IF(C126="Yes","Colleague only",IF(D126="Yes","Volcano only","Heatmap only"))))</x:f>
        <x:v>Volcano only</x:v>
      </x:c>
      <x:c r="H126" s="10" t="str"/>
      <x:c r="I126" s="10" t="str"/>
      <x:c r="J126" s="10" t="str">
        <x:v>Lipid synthesis / metabolism</x:v>
      </x:c>
      <x:c r="K126" s="10" t="str">
        <x:v>infection_diet83</x:v>
      </x:c>
      <x:c r="L126" s="10" t="str"/>
      <x:c r="M126" s="10" t="str"/>
      <x:c r="N126" s="10" t="str"/>
    </x:row>
    <x:row r="127">
      <x:c r="A127" s="10" t="str">
        <x:v>LOC126278149</x:v>
      </x:c>
      <x:c r="B127" s="10" t="str">
        <x:v>phospholipase A1-like</x:v>
      </x:c>
      <x:c r="C127" s="19" t="str">
        <x:f>IF(COUNTIF('Colleague 115'!$A$2:$A$116,A127)&gt;0,"Yes","No")</x:f>
        <x:v>No</x:v>
      </x:c>
      <x:c r="D127" s="19" t="str">
        <x:f>IF(COUNTIF('Volcano 402'!$A$2:$A$403,A127)&gt;0,"Yes","No")</x:f>
        <x:v>Yes</x:v>
      </x:c>
      <x:c r="E127" s="19" t="str">
        <x:f>IF(COUNTIF('Heatmap 169'!$A$2:$A$170,A127)&gt;0,"Yes","No")</x:f>
        <x:v>No</x:v>
      </x:c>
      <x:c r="F127" s="19" t="n">
        <x:f>COUNTIF(C127:E127,"Yes")</x:f>
        <x:v>1</x:v>
      </x:c>
      <x:c r="G127" s="10" t="str">
        <x:f>IF(F127=3,"All three",IF(F127=2,IF(C127="No","Volcano + heatmap",IF(D127="No","Colleague + heatmap","Colleague + volcano")),IF(C127="Yes","Colleague only",IF(D127="Yes","Volcano only","Heatmap only"))))</x:f>
        <x:v>Volcano only</x:v>
      </x:c>
      <x:c r="H127" s="10" t="str"/>
      <x:c r="I127" s="10" t="str"/>
      <x:c r="J127" s="10" t="str">
        <x:v>Lipid synthesis / metabolism</x:v>
      </x:c>
      <x:c r="K127" s="10" t="str">
        <x:v>infected_diet83_vs33; infection_diet33; infection_diet50</x:v>
      </x:c>
      <x:c r="L127" s="10" t="str"/>
      <x:c r="M127" s="10" t="str"/>
      <x:c r="N127" s="10" t="str"/>
    </x:row>
    <x:row r="128">
      <x:c r="A128" s="10" t="str">
        <x:v>LOC126278177</x:v>
      </x:c>
      <x:c r="B128" s="10" t="str">
        <x:v>polypeptide N-acetylgalactosaminyltransferase 2</x:v>
      </x:c>
      <x:c r="C128" s="19" t="str">
        <x:f>IF(COUNTIF('Colleague 115'!$A$2:$A$116,A128)&gt;0,"Yes","No")</x:f>
        <x:v>No</x:v>
      </x:c>
      <x:c r="D128" s="19" t="str">
        <x:f>IF(COUNTIF('Volcano 402'!$A$2:$A$403,A128)&gt;0,"Yes","No")</x:f>
        <x:v>Yes</x:v>
      </x:c>
      <x:c r="E128" s="19" t="str">
        <x:f>IF(COUNTIF('Heatmap 169'!$A$2:$A$170,A128)&gt;0,"Yes","No")</x:f>
        <x:v>No</x:v>
      </x:c>
      <x:c r="F128" s="19" t="n">
        <x:f>COUNTIF(C128:E128,"Yes")</x:f>
        <x:v>1</x:v>
      </x:c>
      <x:c r="G128" s="10" t="str">
        <x:f>IF(F128=3,"All three",IF(F128=2,IF(C128="No","Volcano + heatmap",IF(D128="No","Colleague + heatmap","Colleague + volcano")),IF(C128="Yes","Colleague only",IF(D128="Yes","Volcano only","Heatmap only"))))</x:f>
        <x:v>Volcano only</x:v>
      </x:c>
      <x:c r="H128" s="10" t="str"/>
      <x:c r="I128" s="10" t="str"/>
      <x:c r="J128" s="10" t="str">
        <x:v>Immune-related</x:v>
      </x:c>
      <x:c r="K128" s="10" t="str">
        <x:v>infection_average_all_diets; infection_diet33; infection_diet50; infection_diet83</x:v>
      </x:c>
      <x:c r="L128" s="10" t="str"/>
      <x:c r="M128" s="10" t="str"/>
      <x:c r="N128" s="10" t="str"/>
    </x:row>
    <x:row r="129">
      <x:c r="A129" s="10" t="str">
        <x:v>LOC126278232</x:v>
      </x:c>
      <x:c r="B129" s="10" t="str">
        <x:v>Sugar proton symporter activity. It is involved in the biological process described with carbohydrate transport</x:v>
      </x:c>
      <x:c r="C129" s="19" t="str">
        <x:f>IF(COUNTIF('Colleague 115'!$A$2:$A$116,A129)&gt;0,"Yes","No")</x:f>
        <x:v>No</x:v>
      </x:c>
      <x:c r="D129" s="19" t="str">
        <x:f>IF(COUNTIF('Volcano 402'!$A$2:$A$403,A129)&gt;0,"Yes","No")</x:f>
        <x:v>No</x:v>
      </x:c>
      <x:c r="E129" s="19" t="str">
        <x:f>IF(COUNTIF('Heatmap 169'!$A$2:$A$170,A129)&gt;0,"Yes","No")</x:f>
        <x:v>Yes</x:v>
      </x:c>
      <x:c r="F129" s="19" t="n">
        <x:f>COUNTIF(C129:E129,"Yes")</x:f>
        <x:v>1</x:v>
      </x:c>
      <x:c r="G129" s="10" t="str">
        <x:f>IF(F129=3,"All three",IF(F129=2,IF(C129="No","Volcano + heatmap",IF(D129="No","Colleague + heatmap","Colleague + volcano")),IF(C129="Yes","Colleague only",IF(D129="Yes","Volcano only","Heatmap only"))))</x:f>
        <x:v>Heatmap only</x:v>
      </x:c>
      <x:c r="H129" s="10" t="str"/>
      <x:c r="I129" s="10" t="str"/>
      <x:c r="J129" s="10" t="str"/>
      <x:c r="K129" s="10" t="str"/>
      <x:c r="L129" s="10" t="str">
        <x:v>Functional candidate</x:v>
      </x:c>
      <x:c r="M129" s="10" t="str">
        <x:v>Nutrition/metabolism</x:v>
      </x:c>
      <x:c r="N129" s="10" t="str">
        <x:v>DEG</x:v>
      </x:c>
    </x:row>
    <x:row r="130">
      <x:c r="A130" s="10" t="str">
        <x:v>LOC126278347</x:v>
      </x:c>
      <x:c r="B130" s="10" t="str">
        <x:v>oxidative stress-induced growth inhibitor 1-like</x:v>
      </x:c>
      <x:c r="C130" s="19" t="str">
        <x:f>IF(COUNTIF('Colleague 115'!$A$2:$A$116,A130)&gt;0,"Yes","No")</x:f>
        <x:v>No</x:v>
      </x:c>
      <x:c r="D130" s="19" t="str">
        <x:f>IF(COUNTIF('Volcano 402'!$A$2:$A$403,A130)&gt;0,"Yes","No")</x:f>
        <x:v>Yes</x:v>
      </x:c>
      <x:c r="E130" s="19" t="str">
        <x:f>IF(COUNTIF('Heatmap 169'!$A$2:$A$170,A130)&gt;0,"Yes","No")</x:f>
        <x:v>No</x:v>
      </x:c>
      <x:c r="F130" s="19" t="n">
        <x:f>COUNTIF(C130:E130,"Yes")</x:f>
        <x:v>1</x:v>
      </x:c>
      <x:c r="G130" s="10" t="str">
        <x:f>IF(F130=3,"All three",IF(F130=2,IF(C130="No","Volcano + heatmap",IF(D130="No","Colleague + heatmap","Colleague + volcano")),IF(C130="Yes","Colleague only",IF(D130="Yes","Volcano only","Heatmap only"))))</x:f>
        <x:v>Volcano only</x:v>
      </x:c>
      <x:c r="H130" s="10" t="str"/>
      <x:c r="I130" s="10" t="str"/>
      <x:c r="J130" s="10" t="str">
        <x:v>Detoxification / stress</x:v>
      </x:c>
      <x:c r="K130" s="10" t="str">
        <x:v>infection_diet50</x:v>
      </x:c>
      <x:c r="L130" s="10" t="str"/>
      <x:c r="M130" s="10" t="str"/>
      <x:c r="N130" s="10" t="str"/>
    </x:row>
    <x:row r="131">
      <x:c r="A131" s="10" t="str">
        <x:v>LOC126278485</x:v>
      </x:c>
      <x:c r="B131" s="10" t="str">
        <x:v>Pyridoxal-dependent decarboxylase, pyridoxal binding domain</x:v>
      </x:c>
      <x:c r="C131" s="19" t="str">
        <x:f>IF(COUNTIF('Colleague 115'!$A$2:$A$116,A131)&gt;0,"Yes","No")</x:f>
        <x:v>No</x:v>
      </x:c>
      <x:c r="D131" s="19" t="str">
        <x:f>IF(COUNTIF('Volcano 402'!$A$2:$A$403,A131)&gt;0,"Yes","No")</x:f>
        <x:v>No</x:v>
      </x:c>
      <x:c r="E131" s="19" t="str">
        <x:f>IF(COUNTIF('Heatmap 169'!$A$2:$A$170,A131)&gt;0,"Yes","No")</x:f>
        <x:v>Yes</x:v>
      </x:c>
      <x:c r="F131" s="19" t="n">
        <x:f>COUNTIF(C131:E131,"Yes")</x:f>
        <x:v>1</x:v>
      </x:c>
      <x:c r="G131" s="10" t="str">
        <x:f>IF(F131=3,"All three",IF(F131=2,IF(C131="No","Volcano + heatmap",IF(D131="No","Colleague + heatmap","Colleague + volcano")),IF(C131="Yes","Colleague only",IF(D131="Yes","Volcano only","Heatmap only"))))</x:f>
        <x:v>Heatmap only</x:v>
      </x:c>
      <x:c r="H131" s="10" t="str"/>
      <x:c r="I131" s="10" t="str"/>
      <x:c r="J131" s="10" t="str"/>
      <x:c r="K131" s="10" t="str"/>
      <x:c r="L131" s="10" t="str">
        <x:v>Top DEG</x:v>
      </x:c>
      <x:c r="M131" s="10" t="str">
        <x:v>Other strong DEG</x:v>
      </x:c>
      <x:c r="N131" s="10" t="str">
        <x:v>DEG</x:v>
      </x:c>
    </x:row>
    <x:row r="132">
      <x:c r="A132" s="10" t="str">
        <x:v>LOC126278490</x:v>
      </x:c>
      <x:c r="B132" s="10" t="str">
        <x:v>phospholipase A1 member A-like</x:v>
      </x:c>
      <x:c r="C132" s="19" t="str">
        <x:f>IF(COUNTIF('Colleague 115'!$A$2:$A$116,A132)&gt;0,"Yes","No")</x:f>
        <x:v>No</x:v>
      </x:c>
      <x:c r="D132" s="19" t="str">
        <x:f>IF(COUNTIF('Volcano 402'!$A$2:$A$403,A132)&gt;0,"Yes","No")</x:f>
        <x:v>Yes</x:v>
      </x:c>
      <x:c r="E132" s="19" t="str">
        <x:f>IF(COUNTIF('Heatmap 169'!$A$2:$A$170,A132)&gt;0,"Yes","No")</x:f>
        <x:v>No</x:v>
      </x:c>
      <x:c r="F132" s="19" t="n">
        <x:f>COUNTIF(C132:E132,"Yes")</x:f>
        <x:v>1</x:v>
      </x:c>
      <x:c r="G132" s="10" t="str">
        <x:f>IF(F132=3,"All three",IF(F132=2,IF(C132="No","Volcano + heatmap",IF(D132="No","Colleague + heatmap","Colleague + volcano")),IF(C132="Yes","Colleague only",IF(D132="Yes","Volcano only","Heatmap only"))))</x:f>
        <x:v>Volcano only</x:v>
      </x:c>
      <x:c r="H132" s="10" t="str"/>
      <x:c r="I132" s="10" t="str"/>
      <x:c r="J132" s="10" t="str">
        <x:v>Lipid synthesis / metabolism</x:v>
      </x:c>
      <x:c r="K132" s="10" t="str">
        <x:v>infected_diet33_vs50</x:v>
      </x:c>
      <x:c r="L132" s="10" t="str"/>
      <x:c r="M132" s="10" t="str"/>
      <x:c r="N132" s="10" t="str"/>
    </x:row>
    <x:row r="133">
      <x:c r="A133" s="10" t="str">
        <x:v>LOC126278504</x:v>
      </x:c>
      <x:c r="B133" s="10" t="str">
        <x:v>phospholipase B1, membrane-associated-like</x:v>
      </x:c>
      <x:c r="C133" s="19" t="str">
        <x:f>IF(COUNTIF('Colleague 115'!$A$2:$A$116,A133)&gt;0,"Yes","No")</x:f>
        <x:v>No</x:v>
      </x:c>
      <x:c r="D133" s="19" t="str">
        <x:f>IF(COUNTIF('Volcano 402'!$A$2:$A$403,A133)&gt;0,"Yes","No")</x:f>
        <x:v>Yes</x:v>
      </x:c>
      <x:c r="E133" s="19" t="str">
        <x:f>IF(COUNTIF('Heatmap 169'!$A$2:$A$170,A133)&gt;0,"Yes","No")</x:f>
        <x:v>No</x:v>
      </x:c>
      <x:c r="F133" s="19" t="n">
        <x:f>COUNTIF(C133:E133,"Yes")</x:f>
        <x:v>1</x:v>
      </x:c>
      <x:c r="G133" s="10" t="str">
        <x:f>IF(F133=3,"All three",IF(F133=2,IF(C133="No","Volcano + heatmap",IF(D133="No","Colleague + heatmap","Colleague + volcano")),IF(C133="Yes","Colleague only",IF(D133="Yes","Volcano only","Heatmap only"))))</x:f>
        <x:v>Volcano only</x:v>
      </x:c>
      <x:c r="H133" s="10" t="str"/>
      <x:c r="I133" s="10" t="str"/>
      <x:c r="J133" s="10" t="str">
        <x:v>Lipid synthesis / metabolism</x:v>
      </x:c>
      <x:c r="K133" s="10" t="str">
        <x:v>infection_diet50</x:v>
      </x:c>
      <x:c r="L133" s="10" t="str"/>
      <x:c r="M133" s="10" t="str"/>
      <x:c r="N133" s="10" t="str"/>
    </x:row>
    <x:row r="134">
      <x:c r="A134" s="10" t="str">
        <x:v>LOC126278587</x:v>
      </x:c>
      <x:c r="B134" s="10" t="str">
        <x:v>lipase 3-like</x:v>
      </x:c>
      <x:c r="C134" s="19" t="str">
        <x:f>IF(COUNTIF('Colleague 115'!$A$2:$A$116,A134)&gt;0,"Yes","No")</x:f>
        <x:v>No</x:v>
      </x:c>
      <x:c r="D134" s="19" t="str">
        <x:f>IF(COUNTIF('Volcano 402'!$A$2:$A$403,A134)&gt;0,"Yes","No")</x:f>
        <x:v>Yes</x:v>
      </x:c>
      <x:c r="E134" s="19" t="str">
        <x:f>IF(COUNTIF('Heatmap 169'!$A$2:$A$170,A134)&gt;0,"Yes","No")</x:f>
        <x:v>No</x:v>
      </x:c>
      <x:c r="F134" s="19" t="n">
        <x:f>COUNTIF(C134:E134,"Yes")</x:f>
        <x:v>1</x:v>
      </x:c>
      <x:c r="G134" s="10" t="str">
        <x:f>IF(F134=3,"All three",IF(F134=2,IF(C134="No","Volcano + heatmap",IF(D134="No","Colleague + heatmap","Colleague + volcano")),IF(C134="Yes","Colleague only",IF(D134="Yes","Volcano only","Heatmap only"))))</x:f>
        <x:v>Volcano only</x:v>
      </x:c>
      <x:c r="H134" s="10" t="str"/>
      <x:c r="I134" s="10" t="str"/>
      <x:c r="J134" s="10" t="str">
        <x:v>Lipid synthesis / metabolism</x:v>
      </x:c>
      <x:c r="K134" s="10" t="str">
        <x:v>infection_diet83</x:v>
      </x:c>
      <x:c r="L134" s="10" t="str"/>
      <x:c r="M134" s="10" t="str"/>
      <x:c r="N134" s="10" t="str"/>
    </x:row>
    <x:row r="135">
      <x:c r="A135" s="10" t="str">
        <x:v>LOC126278594</x:v>
      </x:c>
      <x:c r="B135" s="10" t="str">
        <x:v>fatty acid 2-hydroxylase</x:v>
      </x:c>
      <x:c r="C135" s="19" t="str">
        <x:f>IF(COUNTIF('Colleague 115'!$A$2:$A$116,A135)&gt;0,"Yes","No")</x:f>
        <x:v>No</x:v>
      </x:c>
      <x:c r="D135" s="19" t="str">
        <x:f>IF(COUNTIF('Volcano 402'!$A$2:$A$403,A135)&gt;0,"Yes","No")</x:f>
        <x:v>Yes</x:v>
      </x:c>
      <x:c r="E135" s="19" t="str">
        <x:f>IF(COUNTIF('Heatmap 169'!$A$2:$A$170,A135)&gt;0,"Yes","No")</x:f>
        <x:v>No</x:v>
      </x:c>
      <x:c r="F135" s="19" t="n">
        <x:f>COUNTIF(C135:E135,"Yes")</x:f>
        <x:v>1</x:v>
      </x:c>
      <x:c r="G135" s="10" t="str">
        <x:f>IF(F135=3,"All three",IF(F135=2,IF(C135="No","Volcano + heatmap",IF(D135="No","Colleague + heatmap","Colleague + volcano")),IF(C135="Yes","Colleague only",IF(D135="Yes","Volcano only","Heatmap only"))))</x:f>
        <x:v>Volcano only</x:v>
      </x:c>
      <x:c r="H135" s="10" t="str"/>
      <x:c r="I135" s="10" t="str"/>
      <x:c r="J135" s="10" t="str">
        <x:v>Lipid synthesis / metabolism</x:v>
      </x:c>
      <x:c r="K135" s="10" t="str">
        <x:v>control_diet83_vs50</x:v>
      </x:c>
      <x:c r="L135" s="10" t="str"/>
      <x:c r="M135" s="10" t="str"/>
      <x:c r="N135" s="10" t="str"/>
    </x:row>
    <x:row r="136">
      <x:c r="A136" s="10" t="str">
        <x:v>LOC126278673</x:v>
      </x:c>
      <x:c r="B136" s="10" t="str">
        <x:v>DNA binding. It is involved in the biological process described with regulation of transcription, DNA-templated</x:v>
      </x:c>
      <x:c r="C136" s="19" t="str">
        <x:f>IF(COUNTIF('Colleague 115'!$A$2:$A$116,A136)&gt;0,"Yes","No")</x:f>
        <x:v>No</x:v>
      </x:c>
      <x:c r="D136" s="19" t="str">
        <x:f>IF(COUNTIF('Volcano 402'!$A$2:$A$403,A136)&gt;0,"Yes","No")</x:f>
        <x:v>No</x:v>
      </x:c>
      <x:c r="E136" s="19" t="str">
        <x:f>IF(COUNTIF('Heatmap 169'!$A$2:$A$170,A136)&gt;0,"Yes","No")</x:f>
        <x:v>Yes</x:v>
      </x:c>
      <x:c r="F136" s="19" t="n">
        <x:f>COUNTIF(C136:E136,"Yes")</x:f>
        <x:v>1</x:v>
      </x:c>
      <x:c r="G136" s="10" t="str">
        <x:f>IF(F136=3,"All three",IF(F136=2,IF(C136="No","Volcano + heatmap",IF(D136="No","Colleague + heatmap","Colleague + volcano")),IF(C136="Yes","Colleague only",IF(D136="Yes","Volcano only","Heatmap only"))))</x:f>
        <x:v>Heatmap only</x:v>
      </x:c>
      <x:c r="H136" s="10" t="str"/>
      <x:c r="I136" s="10" t="str"/>
      <x:c r="J136" s="10" t="str"/>
      <x:c r="K136" s="10" t="str"/>
      <x:c r="L136" s="10" t="str">
        <x:v>Top DEG</x:v>
      </x:c>
      <x:c r="M136" s="10" t="str">
        <x:v>Other strong DEG</x:v>
      </x:c>
      <x:c r="N136" s="10" t="str">
        <x:v>DEG</x:v>
      </x:c>
    </x:row>
    <x:row r="137">
      <x:c r="A137" s="10" t="str">
        <x:v>LOC126278707</x:v>
      </x:c>
      <x:c r="B137" s="10" t="str">
        <x:v>Trypsin</x:v>
      </x:c>
      <x:c r="C137" s="19" t="str">
        <x:f>IF(COUNTIF('Colleague 115'!$A$2:$A$116,A137)&gt;0,"Yes","No")</x:f>
        <x:v>No</x:v>
      </x:c>
      <x:c r="D137" s="19" t="str">
        <x:f>IF(COUNTIF('Volcano 402'!$A$2:$A$403,A137)&gt;0,"Yes","No")</x:f>
        <x:v>No</x:v>
      </x:c>
      <x:c r="E137" s="19" t="str">
        <x:f>IF(COUNTIF('Heatmap 169'!$A$2:$A$170,A137)&gt;0,"Yes","No")</x:f>
        <x:v>Yes</x:v>
      </x:c>
      <x:c r="F137" s="19" t="n">
        <x:f>COUNTIF(C137:E137,"Yes")</x:f>
        <x:v>1</x:v>
      </x:c>
      <x:c r="G137" s="10" t="str">
        <x:f>IF(F137=3,"All three",IF(F137=2,IF(C137="No","Volcano + heatmap",IF(D137="No","Colleague + heatmap","Colleague + volcano")),IF(C137="Yes","Colleague only",IF(D137="Yes","Volcano only","Heatmap only"))))</x:f>
        <x:v>Heatmap only</x:v>
      </x:c>
      <x:c r="H137" s="10" t="str"/>
      <x:c r="I137" s="10" t="str"/>
      <x:c r="J137" s="10" t="str"/>
      <x:c r="K137" s="10" t="str"/>
      <x:c r="L137" s="10" t="str">
        <x:v>Functional candidate</x:v>
      </x:c>
      <x:c r="M137" s="10" t="str">
        <x:v>Nutrition/metabolism</x:v>
      </x:c>
      <x:c r="N137" s="10" t="str">
        <x:v>DEG</x:v>
      </x:c>
    </x:row>
    <x:row r="138">
      <x:c r="A138" s="10" t="str">
        <x:v>LOC126278735</x:v>
      </x:c>
      <x:c r="B138" s="10" t="str">
        <x:v>neuropilin and tolloid-like protein 2</x:v>
      </x:c>
      <x:c r="C138" s="19" t="str">
        <x:f>IF(COUNTIF('Colleague 115'!$A$2:$A$116,A138)&gt;0,"Yes","No")</x:f>
        <x:v>No</x:v>
      </x:c>
      <x:c r="D138" s="19" t="str">
        <x:f>IF(COUNTIF('Volcano 402'!$A$2:$A$403,A138)&gt;0,"Yes","No")</x:f>
        <x:v>Yes</x:v>
      </x:c>
      <x:c r="E138" s="19" t="str">
        <x:f>IF(COUNTIF('Heatmap 169'!$A$2:$A$170,A138)&gt;0,"Yes","No")</x:f>
        <x:v>No</x:v>
      </x:c>
      <x:c r="F138" s="19" t="n">
        <x:f>COUNTIF(C138:E138,"Yes")</x:f>
        <x:v>1</x:v>
      </x:c>
      <x:c r="G138" s="10" t="str">
        <x:f>IF(F138=3,"All three",IF(F138=2,IF(C138="No","Volcano + heatmap",IF(D138="No","Colleague + heatmap","Colleague + volcano")),IF(C138="Yes","Colleague only",IF(D138="Yes","Volcano only","Heatmap only"))))</x:f>
        <x:v>Volcano only</x:v>
      </x:c>
      <x:c r="H138" s="10" t="str"/>
      <x:c r="I138" s="10" t="str"/>
      <x:c r="J138" s="10" t="str">
        <x:v>Immune-related</x:v>
      </x:c>
      <x:c r="K138" s="10" t="str">
        <x:v>infection_average_all_diets; infection_diet33; infection_diet50</x:v>
      </x:c>
      <x:c r="L138" s="10" t="str"/>
      <x:c r="M138" s="10" t="str"/>
      <x:c r="N138" s="10" t="str"/>
    </x:row>
    <x:row r="139">
      <x:c r="A139" s="10" t="str">
        <x:v>LOC126278820</x:v>
      </x:c>
      <x:c r="B139" s="10" t="str">
        <x:v>translation initiation factor IF-2-like</x:v>
      </x:c>
      <x:c r="C139" s="19" t="str">
        <x:f>IF(COUNTIF('Colleague 115'!$A$2:$A$116,A139)&gt;0,"Yes","No")</x:f>
        <x:v>Yes</x:v>
      </x:c>
      <x:c r="D139" s="19" t="str">
        <x:f>IF(COUNTIF('Volcano 402'!$A$2:$A$403,A139)&gt;0,"Yes","No")</x:f>
        <x:v>Yes</x:v>
      </x:c>
      <x:c r="E139" s="19" t="str">
        <x:f>IF(COUNTIF('Heatmap 169'!$A$2:$A$170,A139)&gt;0,"Yes","No")</x:f>
        <x:v>No</x:v>
      </x:c>
      <x:c r="F139" s="19" t="n">
        <x:f>COUNTIF(C139:E139,"Yes")</x:f>
        <x:v>2</x:v>
      </x:c>
      <x:c r="G139" s="10" t="str">
        <x:f>IF(F139=3,"All three",IF(F139=2,IF(C139="No","Volcano + heatmap",IF(D139="No","Colleague + heatmap","Colleague + volcano")),IF(C139="Yes","Colleague only",IF(D139="Yes","Volcano only","Heatmap only"))))</x:f>
        <x:v>Colleague + volcano</x:v>
      </x:c>
      <x:c r="H139" s="10" t="str">
        <x:v>Protein Synthesis &amp; Translation</x:v>
      </x:c>
      <x:c r="I139" s="10" t="str">
        <x:v>Translation Initiation &amp; Elongation Factors</x:v>
      </x:c>
      <x:c r="J139" s="10" t="str">
        <x:v>Protein synthesis / storage</x:v>
      </x:c>
      <x:c r="K139" s="10" t="str">
        <x:v>infection_diet50</x:v>
      </x:c>
      <x:c r="L139" s="10" t="str"/>
      <x:c r="M139" s="10" t="str"/>
      <x:c r="N139" s="10" t="str"/>
    </x:row>
    <x:row r="140">
      <x:c r="A140" s="10" t="str">
        <x:v>LOC126278867</x:v>
      </x:c>
      <x:c r="B140" s="10" t="str">
        <x:v>cytochrome P450 4c3</x:v>
      </x:c>
      <x:c r="C140" s="19" t="str">
        <x:f>IF(COUNTIF('Colleague 115'!$A$2:$A$116,A140)&gt;0,"Yes","No")</x:f>
        <x:v>No</x:v>
      </x:c>
      <x:c r="D140" s="19" t="str">
        <x:f>IF(COUNTIF('Volcano 402'!$A$2:$A$403,A140)&gt;0,"Yes","No")</x:f>
        <x:v>Yes</x:v>
      </x:c>
      <x:c r="E140" s="19" t="str">
        <x:f>IF(COUNTIF('Heatmap 169'!$A$2:$A$170,A140)&gt;0,"Yes","No")</x:f>
        <x:v>Yes</x:v>
      </x:c>
      <x:c r="F140" s="19" t="n">
        <x:f>COUNTIF(C140:E140,"Yes")</x:f>
        <x:v>2</x:v>
      </x:c>
      <x:c r="G140" s="10" t="str">
        <x:f>IF(F140=3,"All three",IF(F140=2,IF(C140="No","Volcano + heatmap",IF(D140="No","Colleague + heatmap","Colleague + volcano")),IF(C140="Yes","Colleague only",IF(D140="Yes","Volcano only","Heatmap only"))))</x:f>
        <x:v>Volcano + heatmap</x:v>
      </x:c>
      <x:c r="H140" s="10" t="str"/>
      <x:c r="I140" s="10" t="str"/>
      <x:c r="J140" s="10" t="str">
        <x:v>Detoxification / stress</x:v>
      </x:c>
      <x:c r="K140" s="10" t="str">
        <x:v>infection_diet50</x:v>
      </x:c>
      <x:c r="L140" s="10" t="str">
        <x:v>Functional candidate</x:v>
      </x:c>
      <x:c r="M140" s="10" t="str">
        <x:v>Detoxification/stress</x:v>
      </x:c>
      <x:c r="N140" s="10" t="str">
        <x:v>DEG</x:v>
      </x:c>
    </x:row>
    <x:row r="141">
      <x:c r="A141" s="10" t="str">
        <x:v>LOC126278962</x:v>
      </x:c>
      <x:c r="B141" s="10" t="str">
        <x:v>-</x:v>
      </x:c>
      <x:c r="C141" s="19" t="str">
        <x:f>IF(COUNTIF('Colleague 115'!$A$2:$A$116,A141)&gt;0,"Yes","No")</x:f>
        <x:v>No</x:v>
      </x:c>
      <x:c r="D141" s="19" t="str">
        <x:f>IF(COUNTIF('Volcano 402'!$A$2:$A$403,A141)&gt;0,"Yes","No")</x:f>
        <x:v>No</x:v>
      </x:c>
      <x:c r="E141" s="19" t="str">
        <x:f>IF(COUNTIF('Heatmap 169'!$A$2:$A$170,A141)&gt;0,"Yes","No")</x:f>
        <x:v>Yes</x:v>
      </x:c>
      <x:c r="F141" s="19" t="n">
        <x:f>COUNTIF(C141:E141,"Yes")</x:f>
        <x:v>1</x:v>
      </x:c>
      <x:c r="G141" s="10" t="str">
        <x:f>IF(F141=3,"All three",IF(F141=2,IF(C141="No","Volcano + heatmap",IF(D141="No","Colleague + heatmap","Colleague + volcano")),IF(C141="Yes","Colleague only",IF(D141="Yes","Volcano only","Heatmap only"))))</x:f>
        <x:v>Heatmap only</x:v>
      </x:c>
      <x:c r="H141" s="10" t="str"/>
      <x:c r="I141" s="10" t="str"/>
      <x:c r="J141" s="10" t="str"/>
      <x:c r="K141" s="10" t="str"/>
      <x:c r="L141" s="10" t="str">
        <x:v>Top DEG</x:v>
      </x:c>
      <x:c r="M141" s="10" t="str">
        <x:v>Other strong DEG</x:v>
      </x:c>
      <x:c r="N141" s="10" t="str">
        <x:v>DEG</x:v>
      </x:c>
    </x:row>
    <x:row r="142">
      <x:c r="A142" s="10" t="str">
        <x:v>LOC126278972</x:v>
      </x:c>
      <x:c r="B142" s="10" t="str">
        <x:v>inactive pancreatic lipase-related protein 1</x:v>
      </x:c>
      <x:c r="C142" s="19" t="str">
        <x:f>IF(COUNTIF('Colleague 115'!$A$2:$A$116,A142)&gt;0,"Yes","No")</x:f>
        <x:v>No</x:v>
      </x:c>
      <x:c r="D142" s="19" t="str">
        <x:f>IF(COUNTIF('Volcano 402'!$A$2:$A$403,A142)&gt;0,"Yes","No")</x:f>
        <x:v>Yes</x:v>
      </x:c>
      <x:c r="E142" s="19" t="str">
        <x:f>IF(COUNTIF('Heatmap 169'!$A$2:$A$170,A142)&gt;0,"Yes","No")</x:f>
        <x:v>No</x:v>
      </x:c>
      <x:c r="F142" s="19" t="n">
        <x:f>COUNTIF(C142:E142,"Yes")</x:f>
        <x:v>1</x:v>
      </x:c>
      <x:c r="G142" s="10" t="str">
        <x:f>IF(F142=3,"All three",IF(F142=2,IF(C142="No","Volcano + heatmap",IF(D142="No","Colleague + heatmap","Colleague + volcano")),IF(C142="Yes","Colleague only",IF(D142="Yes","Volcano only","Heatmap only"))))</x:f>
        <x:v>Volcano only</x:v>
      </x:c>
      <x:c r="H142" s="10" t="str"/>
      <x:c r="I142" s="10" t="str"/>
      <x:c r="J142" s="10" t="str">
        <x:v>Lipid synthesis / metabolism</x:v>
      </x:c>
      <x:c r="K142" s="10" t="str">
        <x:v>infection_average_all_diets; infection_diet33</x:v>
      </x:c>
      <x:c r="L142" s="10" t="str"/>
      <x:c r="M142" s="10" t="str"/>
      <x:c r="N142" s="10" t="str"/>
    </x:row>
    <x:row r="143">
      <x:c r="A143" s="10" t="str">
        <x:v>LOC126279018</x:v>
      </x:c>
      <x:c r="B143" s="10" t="str">
        <x:v>-</x:v>
      </x:c>
      <x:c r="C143" s="19" t="str">
        <x:f>IF(COUNTIF('Colleague 115'!$A$2:$A$116,A143)&gt;0,"Yes","No")</x:f>
        <x:v>No</x:v>
      </x:c>
      <x:c r="D143" s="19" t="str">
        <x:f>IF(COUNTIF('Volcano 402'!$A$2:$A$403,A143)&gt;0,"Yes","No")</x:f>
        <x:v>No</x:v>
      </x:c>
      <x:c r="E143" s="19" t="str">
        <x:f>IF(COUNTIF('Heatmap 169'!$A$2:$A$170,A143)&gt;0,"Yes","No")</x:f>
        <x:v>Yes</x:v>
      </x:c>
      <x:c r="F143" s="19" t="n">
        <x:f>COUNTIF(C143:E143,"Yes")</x:f>
        <x:v>1</x:v>
      </x:c>
      <x:c r="G143" s="10" t="str">
        <x:f>IF(F143=3,"All three",IF(F143=2,IF(C143="No","Volcano + heatmap",IF(D143="No","Colleague + heatmap","Colleague + volcano")),IF(C143="Yes","Colleague only",IF(D143="Yes","Volcano only","Heatmap only"))))</x:f>
        <x:v>Heatmap only</x:v>
      </x:c>
      <x:c r="H143" s="10" t="str"/>
      <x:c r="I143" s="10" t="str"/>
      <x:c r="J143" s="10" t="str"/>
      <x:c r="K143" s="10" t="str"/>
      <x:c r="L143" s="10" t="str">
        <x:v>Top DEG</x:v>
      </x:c>
      <x:c r="M143" s="10" t="str">
        <x:v>Other strong DEG</x:v>
      </x:c>
      <x:c r="N143" s="10" t="str">
        <x:v>DEG</x:v>
      </x:c>
    </x:row>
    <x:row r="144">
      <x:c r="A144" s="10" t="str">
        <x:v>LOC126279091</x:v>
      </x:c>
      <x:c r="B144" s="10" t="str">
        <x:v>cholinesterase 1-like</x:v>
      </x:c>
      <x:c r="C144" s="19" t="str">
        <x:f>IF(COUNTIF('Colleague 115'!$A$2:$A$116,A144)&gt;0,"Yes","No")</x:f>
        <x:v>No</x:v>
      </x:c>
      <x:c r="D144" s="19" t="str">
        <x:f>IF(COUNTIF('Volcano 402'!$A$2:$A$403,A144)&gt;0,"Yes","No")</x:f>
        <x:v>Yes</x:v>
      </x:c>
      <x:c r="E144" s="19" t="str">
        <x:f>IF(COUNTIF('Heatmap 169'!$A$2:$A$170,A144)&gt;0,"Yes","No")</x:f>
        <x:v>No</x:v>
      </x:c>
      <x:c r="F144" s="19" t="n">
        <x:f>COUNTIF(C144:E144,"Yes")</x:f>
        <x:v>1</x:v>
      </x:c>
      <x:c r="G144" s="10" t="str">
        <x:f>IF(F144=3,"All three",IF(F144=2,IF(C144="No","Volcano + heatmap",IF(D144="No","Colleague + heatmap","Colleague + volcano")),IF(C144="Yes","Colleague only",IF(D144="Yes","Volcano only","Heatmap only"))))</x:f>
        <x:v>Volcano only</x:v>
      </x:c>
      <x:c r="H144" s="10" t="str"/>
      <x:c r="I144" s="10" t="str"/>
      <x:c r="J144" s="10" t="str">
        <x:v>Detoxification / stress</x:v>
      </x:c>
      <x:c r="K144" s="10" t="str">
        <x:v>infection_diet33</x:v>
      </x:c>
      <x:c r="L144" s="10" t="str"/>
      <x:c r="M144" s="10" t="str"/>
      <x:c r="N144" s="10" t="str"/>
    </x:row>
    <x:row r="145">
      <x:c r="A145" s="10" t="str">
        <x:v>LOC126279109</x:v>
      </x:c>
      <x:c r="B145" s="10" t="str">
        <x:v>long-chain fatty acid transport protein 1-like</x:v>
      </x:c>
      <x:c r="C145" s="19" t="str">
        <x:f>IF(COUNTIF('Colleague 115'!$A$2:$A$116,A145)&gt;0,"Yes","No")</x:f>
        <x:v>No</x:v>
      </x:c>
      <x:c r="D145" s="19" t="str">
        <x:f>IF(COUNTIF('Volcano 402'!$A$2:$A$403,A145)&gt;0,"Yes","No")</x:f>
        <x:v>Yes</x:v>
      </x:c>
      <x:c r="E145" s="19" t="str">
        <x:f>IF(COUNTIF('Heatmap 169'!$A$2:$A$170,A145)&gt;0,"Yes","No")</x:f>
        <x:v>No</x:v>
      </x:c>
      <x:c r="F145" s="19" t="n">
        <x:f>COUNTIF(C145:E145,"Yes")</x:f>
        <x:v>1</x:v>
      </x:c>
      <x:c r="G145" s="10" t="str">
        <x:f>IF(F145=3,"All three",IF(F145=2,IF(C145="No","Volcano + heatmap",IF(D145="No","Colleague + heatmap","Colleague + volcano")),IF(C145="Yes","Colleague only",IF(D145="Yes","Volcano only","Heatmap only"))))</x:f>
        <x:v>Volcano only</x:v>
      </x:c>
      <x:c r="H145" s="10" t="str"/>
      <x:c r="I145" s="10" t="str"/>
      <x:c r="J145" s="10" t="str">
        <x:v>Lipid synthesis / metabolism</x:v>
      </x:c>
      <x:c r="K145" s="10" t="str">
        <x:v>infection_average_all_diets; infection_diet33; infection_diet50</x:v>
      </x:c>
      <x:c r="L145" s="10" t="str"/>
      <x:c r="M145" s="10" t="str"/>
      <x:c r="N145" s="10" t="str"/>
    </x:row>
    <x:row r="146">
      <x:c r="A146" s="10" t="str">
        <x:v>LOC126279309</x:v>
      </x:c>
      <x:c r="B146" s="10" t="str">
        <x:v>Mediator of CRAC channel activity</x:v>
      </x:c>
      <x:c r="C146" s="19" t="str">
        <x:f>IF(COUNTIF('Colleague 115'!$A$2:$A$116,A146)&gt;0,"Yes","No")</x:f>
        <x:v>No</x:v>
      </x:c>
      <x:c r="D146" s="19" t="str">
        <x:f>IF(COUNTIF('Volcano 402'!$A$2:$A$403,A146)&gt;0,"Yes","No")</x:f>
        <x:v>No</x:v>
      </x:c>
      <x:c r="E146" s="19" t="str">
        <x:f>IF(COUNTIF('Heatmap 169'!$A$2:$A$170,A146)&gt;0,"Yes","No")</x:f>
        <x:v>Yes</x:v>
      </x:c>
      <x:c r="F146" s="19" t="n">
        <x:f>COUNTIF(C146:E146,"Yes")</x:f>
        <x:v>1</x:v>
      </x:c>
      <x:c r="G146" s="10" t="str">
        <x:f>IF(F146=3,"All three",IF(F146=2,IF(C146="No","Volcano + heatmap",IF(D146="No","Colleague + heatmap","Colleague + volcano")),IF(C146="Yes","Colleague only",IF(D146="Yes","Volcano only","Heatmap only"))))</x:f>
        <x:v>Heatmap only</x:v>
      </x:c>
      <x:c r="H146" s="10" t="str"/>
      <x:c r="I146" s="10" t="str"/>
      <x:c r="J146" s="10" t="str"/>
      <x:c r="K146" s="10" t="str"/>
      <x:c r="L146" s="10" t="str">
        <x:v>Top DEG</x:v>
      </x:c>
      <x:c r="M146" s="10" t="str">
        <x:v>Other strong DEG</x:v>
      </x:c>
      <x:c r="N146" s="10" t="str">
        <x:v>DEG</x:v>
      </x:c>
    </x:row>
    <x:row r="147">
      <x:c r="A147" s="10" t="str">
        <x:v>LOC126280991</x:v>
      </x:c>
      <x:c r="B147" s="10" t="str">
        <x:v>apolipoprotein D-like</x:v>
      </x:c>
      <x:c r="C147" s="19" t="str">
        <x:f>IF(COUNTIF('Colleague 115'!$A$2:$A$116,A147)&gt;0,"Yes","No")</x:f>
        <x:v>No</x:v>
      </x:c>
      <x:c r="D147" s="19" t="str">
        <x:f>IF(COUNTIF('Volcano 402'!$A$2:$A$403,A147)&gt;0,"Yes","No")</x:f>
        <x:v>Yes</x:v>
      </x:c>
      <x:c r="E147" s="19" t="str">
        <x:f>IF(COUNTIF('Heatmap 169'!$A$2:$A$170,A147)&gt;0,"Yes","No")</x:f>
        <x:v>No</x:v>
      </x:c>
      <x:c r="F147" s="19" t="n">
        <x:f>COUNTIF(C147:E147,"Yes")</x:f>
        <x:v>1</x:v>
      </x:c>
      <x:c r="G147" s="10" t="str">
        <x:f>IF(F147=3,"All three",IF(F147=2,IF(C147="No","Volcano + heatmap",IF(D147="No","Colleague + heatmap","Colleague + volcano")),IF(C147="Yes","Colleague only",IF(D147="Yes","Volcano only","Heatmap only"))))</x:f>
        <x:v>Volcano only</x:v>
      </x:c>
      <x:c r="H147" s="10" t="str"/>
      <x:c r="I147" s="10" t="str"/>
      <x:c r="J147" s="10" t="str">
        <x:v>Lipid synthesis / metabolism</x:v>
      </x:c>
      <x:c r="K147" s="10" t="str">
        <x:v>infection_average_all_diets; infection_diet33; infection_diet50</x:v>
      </x:c>
      <x:c r="L147" s="10" t="str"/>
      <x:c r="M147" s="10" t="str"/>
      <x:c r="N147" s="10" t="str"/>
    </x:row>
    <x:row r="148">
      <x:c r="A148" s="10" t="str">
        <x:v>LOC126281171</x:v>
      </x:c>
      <x:c r="B148" s="10" t="str">
        <x:v>heat shock protein Hsp-12.2</x:v>
      </x:c>
      <x:c r="C148" s="19" t="str">
        <x:f>IF(COUNTIF('Colleague 115'!$A$2:$A$116,A148)&gt;0,"Yes","No")</x:f>
        <x:v>No</x:v>
      </x:c>
      <x:c r="D148" s="19" t="str">
        <x:f>IF(COUNTIF('Volcano 402'!$A$2:$A$403,A148)&gt;0,"Yes","No")</x:f>
        <x:v>Yes</x:v>
      </x:c>
      <x:c r="E148" s="19" t="str">
        <x:f>IF(COUNTIF('Heatmap 169'!$A$2:$A$170,A148)&gt;0,"Yes","No")</x:f>
        <x:v>No</x:v>
      </x:c>
      <x:c r="F148" s="19" t="n">
        <x:f>COUNTIF(C148:E148,"Yes")</x:f>
        <x:v>1</x:v>
      </x:c>
      <x:c r="G148" s="10" t="str">
        <x:f>IF(F148=3,"All three",IF(F148=2,IF(C148="No","Volcano + heatmap",IF(D148="No","Colleague + heatmap","Colleague + volcano")),IF(C148="Yes","Colleague only",IF(D148="Yes","Volcano only","Heatmap only"))))</x:f>
        <x:v>Volcano only</x:v>
      </x:c>
      <x:c r="H148" s="10" t="str"/>
      <x:c r="I148" s="10" t="str"/>
      <x:c r="J148" s="10" t="str">
        <x:v>Detoxification / stress</x:v>
      </x:c>
      <x:c r="K148" s="10" t="str">
        <x:v>infection_diet83</x:v>
      </x:c>
      <x:c r="L148" s="10" t="str"/>
      <x:c r="M148" s="10" t="str"/>
      <x:c r="N148" s="10" t="str"/>
    </x:row>
    <x:row r="149">
      <x:c r="A149" s="10" t="str">
        <x:v>LOC126281245</x:v>
      </x:c>
      <x:c r="B149" s="10" t="str">
        <x:v>cysteine--tRNA ligase, cytoplasmic</x:v>
      </x:c>
      <x:c r="C149" s="19" t="str">
        <x:f>IF(COUNTIF('Colleague 115'!$A$2:$A$116,A149)&gt;0,"Yes","No")</x:f>
        <x:v>Yes</x:v>
      </x:c>
      <x:c r="D149" s="19" t="str">
        <x:f>IF(COUNTIF('Volcano 402'!$A$2:$A$403,A149)&gt;0,"Yes","No")</x:f>
        <x:v>Yes</x:v>
      </x:c>
      <x:c r="E149" s="19" t="str">
        <x:f>IF(COUNTIF('Heatmap 169'!$A$2:$A$170,A149)&gt;0,"Yes","No")</x:f>
        <x:v>No</x:v>
      </x:c>
      <x:c r="F149" s="19" t="n">
        <x:f>COUNTIF(C149:E149,"Yes")</x:f>
        <x:v>2</x:v>
      </x:c>
      <x:c r="G149" s="10" t="str">
        <x:f>IF(F149=3,"All three",IF(F149=2,IF(C149="No","Volcano + heatmap",IF(D149="No","Colleague + heatmap","Colleague + volcano")),IF(C149="Yes","Colleague only",IF(D149="Yes","Volcano only","Heatmap only"))))</x:f>
        <x:v>Colleague + volcano</x:v>
      </x:c>
      <x:c r="H149" s="10" t="str">
        <x:v>Protein Synthesis &amp; Translation</x:v>
      </x:c>
      <x:c r="I149" s="10" t="str">
        <x:v>Aminoacyl-tRNA Synthetases</x:v>
      </x:c>
      <x:c r="J149" s="10" t="str">
        <x:v>Protein synthesis / storage</x:v>
      </x:c>
      <x:c r="K149" s="10" t="str">
        <x:v>infection_average_all_diets; infection_diet33; infection_diet83</x:v>
      </x:c>
      <x:c r="L149" s="10" t="str"/>
      <x:c r="M149" s="10" t="str"/>
      <x:c r="N149" s="10" t="str"/>
    </x:row>
    <x:row r="150">
      <x:c r="A150" s="10" t="str">
        <x:v>LOC126281297</x:v>
      </x:c>
      <x:c r="B150" s="10" t="str"/>
      <x:c r="C150" s="19" t="str">
        <x:f>IF(COUNTIF('Colleague 115'!$A$2:$A$116,A150)&gt;0,"Yes","No")</x:f>
        <x:v>No</x:v>
      </x:c>
      <x:c r="D150" s="19" t="str">
        <x:f>IF(COUNTIF('Volcano 402'!$A$2:$A$403,A150)&gt;0,"Yes","No")</x:f>
        <x:v>No</x:v>
      </x:c>
      <x:c r="E150" s="19" t="str">
        <x:f>IF(COUNTIF('Heatmap 169'!$A$2:$A$170,A150)&gt;0,"Yes","No")</x:f>
        <x:v>Yes</x:v>
      </x:c>
      <x:c r="F150" s="19" t="n">
        <x:f>COUNTIF(C150:E150,"Yes")</x:f>
        <x:v>1</x:v>
      </x:c>
      <x:c r="G150" s="10" t="str">
        <x:f>IF(F150=3,"All three",IF(F150=2,IF(C150="No","Volcano + heatmap",IF(D150="No","Colleague + heatmap","Colleague + volcano")),IF(C150="Yes","Colleague only",IF(D150="Yes","Volcano only","Heatmap only"))))</x:f>
        <x:v>Heatmap only</x:v>
      </x:c>
      <x:c r="H150" s="10" t="str"/>
      <x:c r="I150" s="10" t="str"/>
      <x:c r="J150" s="10" t="str"/>
      <x:c r="K150" s="10" t="str"/>
      <x:c r="L150" s="10" t="str">
        <x:v>Top DEG</x:v>
      </x:c>
      <x:c r="M150" s="10" t="str">
        <x:v>Other strong DEG</x:v>
      </x:c>
      <x:c r="N150" s="10" t="str">
        <x:v>DEG</x:v>
      </x:c>
    </x:row>
    <x:row r="151">
      <x:c r="A151" s="10" t="str">
        <x:v>LOC126281357</x:v>
      </x:c>
      <x:c r="B151" s="10" t="str">
        <x:v>cytochrome P450 4C1-like</x:v>
      </x:c>
      <x:c r="C151" s="19" t="str">
        <x:f>IF(COUNTIF('Colleague 115'!$A$2:$A$116,A151)&gt;0,"Yes","No")</x:f>
        <x:v>No</x:v>
      </x:c>
      <x:c r="D151" s="19" t="str">
        <x:f>IF(COUNTIF('Volcano 402'!$A$2:$A$403,A151)&gt;0,"Yes","No")</x:f>
        <x:v>Yes</x:v>
      </x:c>
      <x:c r="E151" s="19" t="str">
        <x:f>IF(COUNTIF('Heatmap 169'!$A$2:$A$170,A151)&gt;0,"Yes","No")</x:f>
        <x:v>No</x:v>
      </x:c>
      <x:c r="F151" s="19" t="n">
        <x:f>COUNTIF(C151:E151,"Yes")</x:f>
        <x:v>1</x:v>
      </x:c>
      <x:c r="G151" s="10" t="str">
        <x:f>IF(F151=3,"All three",IF(F151=2,IF(C151="No","Volcano + heatmap",IF(D151="No","Colleague + heatmap","Colleague + volcano")),IF(C151="Yes","Colleague only",IF(D151="Yes","Volcano only","Heatmap only"))))</x:f>
        <x:v>Volcano only</x:v>
      </x:c>
      <x:c r="H151" s="10" t="str"/>
      <x:c r="I151" s="10" t="str"/>
      <x:c r="J151" s="10" t="str">
        <x:v>Detoxification / stress</x:v>
      </x:c>
      <x:c r="K151" s="10" t="str">
        <x:v>infection_average_all_diets; infection_diet50</x:v>
      </x:c>
      <x:c r="L151" s="10" t="str"/>
      <x:c r="M151" s="10" t="str"/>
      <x:c r="N151" s="10" t="str"/>
    </x:row>
    <x:row r="152">
      <x:c r="A152" s="10" t="str">
        <x:v>LOC126281380</x:v>
      </x:c>
      <x:c r="B152" s="10" t="str">
        <x:v>Immunoglobulin V-set domain</x:v>
      </x:c>
      <x:c r="C152" s="19" t="str">
        <x:f>IF(COUNTIF('Colleague 115'!$A$2:$A$116,A152)&gt;0,"Yes","No")</x:f>
        <x:v>No</x:v>
      </x:c>
      <x:c r="D152" s="19" t="str">
        <x:f>IF(COUNTIF('Volcano 402'!$A$2:$A$403,A152)&gt;0,"Yes","No")</x:f>
        <x:v>No</x:v>
      </x:c>
      <x:c r="E152" s="19" t="str">
        <x:f>IF(COUNTIF('Heatmap 169'!$A$2:$A$170,A152)&gt;0,"Yes","No")</x:f>
        <x:v>Yes</x:v>
      </x:c>
      <x:c r="F152" s="19" t="n">
        <x:f>COUNTIF(C152:E152,"Yes")</x:f>
        <x:v>1</x:v>
      </x:c>
      <x:c r="G152" s="10" t="str">
        <x:f>IF(F152=3,"All three",IF(F152=2,IF(C152="No","Volcano + heatmap",IF(D152="No","Colleague + heatmap","Colleague + volcano")),IF(C152="Yes","Colleague only",IF(D152="Yes","Volcano only","Heatmap only"))))</x:f>
        <x:v>Heatmap only</x:v>
      </x:c>
      <x:c r="H152" s="10" t="str"/>
      <x:c r="I152" s="10" t="str"/>
      <x:c r="J152" s="10" t="str"/>
      <x:c r="K152" s="10" t="str"/>
      <x:c r="L152" s="10" t="str">
        <x:v>Functional candidate</x:v>
      </x:c>
      <x:c r="M152" s="10" t="str">
        <x:v>Immune-related</x:v>
      </x:c>
      <x:c r="N152" s="10" t="str">
        <x:v>Not DEG</x:v>
      </x:c>
    </x:row>
    <x:row r="153">
      <x:c r="A153" s="10" t="str">
        <x:v>LOC126281382</x:v>
      </x:c>
      <x:c r="B153" s="10" t="str">
        <x:v>probable cytochrome P450 6a20</x:v>
      </x:c>
      <x:c r="C153" s="19" t="str">
        <x:f>IF(COUNTIF('Colleague 115'!$A$2:$A$116,A153)&gt;0,"Yes","No")</x:f>
        <x:v>No</x:v>
      </x:c>
      <x:c r="D153" s="19" t="str">
        <x:f>IF(COUNTIF('Volcano 402'!$A$2:$A$403,A153)&gt;0,"Yes","No")</x:f>
        <x:v>Yes</x:v>
      </x:c>
      <x:c r="E153" s="19" t="str">
        <x:f>IF(COUNTIF('Heatmap 169'!$A$2:$A$170,A153)&gt;0,"Yes","No")</x:f>
        <x:v>No</x:v>
      </x:c>
      <x:c r="F153" s="19" t="n">
        <x:f>COUNTIF(C153:E153,"Yes")</x:f>
        <x:v>1</x:v>
      </x:c>
      <x:c r="G153" s="10" t="str">
        <x:f>IF(F153=3,"All three",IF(F153=2,IF(C153="No","Volcano + heatmap",IF(D153="No","Colleague + heatmap","Colleague + volcano")),IF(C153="Yes","Colleague only",IF(D153="Yes","Volcano only","Heatmap only"))))</x:f>
        <x:v>Volcano only</x:v>
      </x:c>
      <x:c r="H153" s="10" t="str"/>
      <x:c r="I153" s="10" t="str"/>
      <x:c r="J153" s="10" t="str">
        <x:v>Detoxification / stress</x:v>
      </x:c>
      <x:c r="K153" s="10" t="str">
        <x:v>infected_diet33_vs50; infection_diet50</x:v>
      </x:c>
      <x:c r="L153" s="10" t="str"/>
      <x:c r="M153" s="10" t="str"/>
      <x:c r="N153" s="10" t="str"/>
    </x:row>
    <x:row r="154">
      <x:c r="A154" s="10" t="str">
        <x:v>LOC126281383</x:v>
      </x:c>
      <x:c r="B154" s="10" t="str">
        <x:v>cytochrome P450 6j1-like</x:v>
      </x:c>
      <x:c r="C154" s="19" t="str">
        <x:f>IF(COUNTIF('Colleague 115'!$A$2:$A$116,A154)&gt;0,"Yes","No")</x:f>
        <x:v>No</x:v>
      </x:c>
      <x:c r="D154" s="19" t="str">
        <x:f>IF(COUNTIF('Volcano 402'!$A$2:$A$403,A154)&gt;0,"Yes","No")</x:f>
        <x:v>Yes</x:v>
      </x:c>
      <x:c r="E154" s="19" t="str">
        <x:f>IF(COUNTIF('Heatmap 169'!$A$2:$A$170,A154)&gt;0,"Yes","No")</x:f>
        <x:v>No</x:v>
      </x:c>
      <x:c r="F154" s="19" t="n">
        <x:f>COUNTIF(C154:E154,"Yes")</x:f>
        <x:v>1</x:v>
      </x:c>
      <x:c r="G154" s="10" t="str">
        <x:f>IF(F154=3,"All three",IF(F154=2,IF(C154="No","Volcano + heatmap",IF(D154="No","Colleague + heatmap","Colleague + volcano")),IF(C154="Yes","Colleague only",IF(D154="Yes","Volcano only","Heatmap only"))))</x:f>
        <x:v>Volcano only</x:v>
      </x:c>
      <x:c r="H154" s="10" t="str"/>
      <x:c r="I154" s="10" t="str"/>
      <x:c r="J154" s="10" t="str">
        <x:v>Detoxification / stress</x:v>
      </x:c>
      <x:c r="K154" s="10" t="str">
        <x:v>infection_diet50</x:v>
      </x:c>
      <x:c r="L154" s="10" t="str"/>
      <x:c r="M154" s="10" t="str"/>
      <x:c r="N154" s="10" t="str"/>
    </x:row>
    <x:row r="155">
      <x:c r="A155" s="10" t="str">
        <x:v>LOC126281385</x:v>
      </x:c>
      <x:c r="B155" s="10" t="str">
        <x:v>cytochrome P450 6j1-like</x:v>
      </x:c>
      <x:c r="C155" s="19" t="str">
        <x:f>IF(COUNTIF('Colleague 115'!$A$2:$A$116,A155)&gt;0,"Yes","No")</x:f>
        <x:v>No</x:v>
      </x:c>
      <x:c r="D155" s="19" t="str">
        <x:f>IF(COUNTIF('Volcano 402'!$A$2:$A$403,A155)&gt;0,"Yes","No")</x:f>
        <x:v>Yes</x:v>
      </x:c>
      <x:c r="E155" s="19" t="str">
        <x:f>IF(COUNTIF('Heatmap 169'!$A$2:$A$170,A155)&gt;0,"Yes","No")</x:f>
        <x:v>No</x:v>
      </x:c>
      <x:c r="F155" s="19" t="n">
        <x:f>COUNTIF(C155:E155,"Yes")</x:f>
        <x:v>1</x:v>
      </x:c>
      <x:c r="G155" s="10" t="str">
        <x:f>IF(F155=3,"All three",IF(F155=2,IF(C155="No","Volcano + heatmap",IF(D155="No","Colleague + heatmap","Colleague + volcano")),IF(C155="Yes","Colleague only",IF(D155="Yes","Volcano only","Heatmap only"))))</x:f>
        <x:v>Volcano only</x:v>
      </x:c>
      <x:c r="H155" s="10" t="str"/>
      <x:c r="I155" s="10" t="str"/>
      <x:c r="J155" s="10" t="str">
        <x:v>Detoxification / stress</x:v>
      </x:c>
      <x:c r="K155" s="10" t="str">
        <x:v>infected_diet33_vs50; infection_diet50</x:v>
      </x:c>
      <x:c r="L155" s="10" t="str"/>
      <x:c r="M155" s="10" t="str"/>
      <x:c r="N155" s="10" t="str"/>
    </x:row>
    <x:row r="156">
      <x:c r="A156" s="10" t="str">
        <x:v>LOC126281386</x:v>
      </x:c>
      <x:c r="B156" s="10" t="str">
        <x:v>Immunoglobulin</x:v>
      </x:c>
      <x:c r="C156" s="19" t="str">
        <x:f>IF(COUNTIF('Colleague 115'!$A$2:$A$116,A156)&gt;0,"Yes","No")</x:f>
        <x:v>No</x:v>
      </x:c>
      <x:c r="D156" s="19" t="str">
        <x:f>IF(COUNTIF('Volcano 402'!$A$2:$A$403,A156)&gt;0,"Yes","No")</x:f>
        <x:v>No</x:v>
      </x:c>
      <x:c r="E156" s="19" t="str">
        <x:f>IF(COUNTIF('Heatmap 169'!$A$2:$A$170,A156)&gt;0,"Yes","No")</x:f>
        <x:v>Yes</x:v>
      </x:c>
      <x:c r="F156" s="19" t="n">
        <x:f>COUNTIF(C156:E156,"Yes")</x:f>
        <x:v>1</x:v>
      </x:c>
      <x:c r="G156" s="10" t="str">
        <x:f>IF(F156=3,"All three",IF(F156=2,IF(C156="No","Volcano + heatmap",IF(D156="No","Colleague + heatmap","Colleague + volcano")),IF(C156="Yes","Colleague only",IF(D156="Yes","Volcano only","Heatmap only"))))</x:f>
        <x:v>Heatmap only</x:v>
      </x:c>
      <x:c r="H156" s="10" t="str"/>
      <x:c r="I156" s="10" t="str"/>
      <x:c r="J156" s="10" t="str"/>
      <x:c r="K156" s="10" t="str"/>
      <x:c r="L156" s="10" t="str">
        <x:v>Functional candidate</x:v>
      </x:c>
      <x:c r="M156" s="10" t="str">
        <x:v>Immune-related</x:v>
      </x:c>
      <x:c r="N156" s="10" t="str">
        <x:v>Not DEG</x:v>
      </x:c>
    </x:row>
    <x:row r="157">
      <x:c r="A157" s="10" t="str">
        <x:v>LOC126281399</x:v>
      </x:c>
      <x:c r="B157" s="10" t="str">
        <x:v>sorbitol dehydrogenase-like</x:v>
      </x:c>
      <x:c r="C157" s="19" t="str">
        <x:f>IF(COUNTIF('Colleague 115'!$A$2:$A$116,A157)&gt;0,"Yes","No")</x:f>
        <x:v>No</x:v>
      </x:c>
      <x:c r="D157" s="19" t="str">
        <x:f>IF(COUNTIF('Volcano 402'!$A$2:$A$403,A157)&gt;0,"Yes","No")</x:f>
        <x:v>Yes</x:v>
      </x:c>
      <x:c r="E157" s="19" t="str">
        <x:f>IF(COUNTIF('Heatmap 169'!$A$2:$A$170,A157)&gt;0,"Yes","No")</x:f>
        <x:v>No</x:v>
      </x:c>
      <x:c r="F157" s="19" t="n">
        <x:f>COUNTIF(C157:E157,"Yes")</x:f>
        <x:v>1</x:v>
      </x:c>
      <x:c r="G157" s="10" t="str">
        <x:f>IF(F157=3,"All three",IF(F157=2,IF(C157="No","Volcano + heatmap",IF(D157="No","Colleague + heatmap","Colleague + volcano")),IF(C157="Yes","Colleague only",IF(D157="Yes","Volcano only","Heatmap only"))))</x:f>
        <x:v>Volcano only</x:v>
      </x:c>
      <x:c r="H157" s="10" t="str"/>
      <x:c r="I157" s="10" t="str"/>
      <x:c r="J157" s="10" t="str">
        <x:v>Detoxification / stress</x:v>
      </x:c>
      <x:c r="K157" s="10" t="str">
        <x:v>infection_average_all_diets; infection_diet50</x:v>
      </x:c>
      <x:c r="L157" s="10" t="str"/>
      <x:c r="M157" s="10" t="str"/>
      <x:c r="N157" s="10" t="str"/>
    </x:row>
    <x:row r="158">
      <x:c r="A158" s="10" t="str">
        <x:v>LOC126281404</x:v>
      </x:c>
      <x:c r="B158" s="10" t="str">
        <x:v>glutathione S-transferase D7-like</x:v>
      </x:c>
      <x:c r="C158" s="19" t="str">
        <x:f>IF(COUNTIF('Colleague 115'!$A$2:$A$116,A158)&gt;0,"Yes","No")</x:f>
        <x:v>No</x:v>
      </x:c>
      <x:c r="D158" s="19" t="str">
        <x:f>IF(COUNTIF('Volcano 402'!$A$2:$A$403,A158)&gt;0,"Yes","No")</x:f>
        <x:v>Yes</x:v>
      </x:c>
      <x:c r="E158" s="19" t="str">
        <x:f>IF(COUNTIF('Heatmap 169'!$A$2:$A$170,A158)&gt;0,"Yes","No")</x:f>
        <x:v>No</x:v>
      </x:c>
      <x:c r="F158" s="19" t="n">
        <x:f>COUNTIF(C158:E158,"Yes")</x:f>
        <x:v>1</x:v>
      </x:c>
      <x:c r="G158" s="10" t="str">
        <x:f>IF(F158=3,"All three",IF(F158=2,IF(C158="No","Volcano + heatmap",IF(D158="No","Colleague + heatmap","Colleague + volcano")),IF(C158="Yes","Colleague only",IF(D158="Yes","Volcano only","Heatmap only"))))</x:f>
        <x:v>Volcano only</x:v>
      </x:c>
      <x:c r="H158" s="10" t="str"/>
      <x:c r="I158" s="10" t="str"/>
      <x:c r="J158" s="10" t="str">
        <x:v>Detoxification / stress</x:v>
      </x:c>
      <x:c r="K158" s="10" t="str">
        <x:v>infection_average_all_diets; infection_diet50</x:v>
      </x:c>
      <x:c r="L158" s="10" t="str"/>
      <x:c r="M158" s="10" t="str"/>
      <x:c r="N158" s="10" t="str"/>
    </x:row>
    <x:row r="159">
      <x:c r="A159" s="10" t="str">
        <x:v>LOC126281410</x:v>
      </x:c>
      <x:c r="B159" s="10" t="str">
        <x:v>glutathione S-transferase D7-like</x:v>
      </x:c>
      <x:c r="C159" s="19" t="str">
        <x:f>IF(COUNTIF('Colleague 115'!$A$2:$A$116,A159)&gt;0,"Yes","No")</x:f>
        <x:v>No</x:v>
      </x:c>
      <x:c r="D159" s="19" t="str">
        <x:f>IF(COUNTIF('Volcano 402'!$A$2:$A$403,A159)&gt;0,"Yes","No")</x:f>
        <x:v>Yes</x:v>
      </x:c>
      <x:c r="E159" s="19" t="str">
        <x:f>IF(COUNTIF('Heatmap 169'!$A$2:$A$170,A159)&gt;0,"Yes","No")</x:f>
        <x:v>Yes</x:v>
      </x:c>
      <x:c r="F159" s="19" t="n">
        <x:f>COUNTIF(C159:E159,"Yes")</x:f>
        <x:v>2</x:v>
      </x:c>
      <x:c r="G159" s="10" t="str">
        <x:f>IF(F159=3,"All three",IF(F159=2,IF(C159="No","Volcano + heatmap",IF(D159="No","Colleague + heatmap","Colleague + volcano")),IF(C159="Yes","Colleague only",IF(D159="Yes","Volcano only","Heatmap only"))))</x:f>
        <x:v>Volcano + heatmap</x:v>
      </x:c>
      <x:c r="H159" s="10" t="str"/>
      <x:c r="I159" s="10" t="str"/>
      <x:c r="J159" s="10" t="str">
        <x:v>Detoxification / stress</x:v>
      </x:c>
      <x:c r="K159" s="10" t="str">
        <x:v>infected_diet33_vs50; infection_average_all_diets; infection_diet33; infection_diet50; infection_diet83</x:v>
      </x:c>
      <x:c r="L159" s="10" t="str">
        <x:v>Functional candidate</x:v>
      </x:c>
      <x:c r="M159" s="10" t="str">
        <x:v>Detoxification/stress</x:v>
      </x:c>
      <x:c r="N159" s="10" t="str">
        <x:v>DEG</x:v>
      </x:c>
    </x:row>
    <x:row r="160">
      <x:c r="A160" s="10" t="str">
        <x:v>LOC126281423</x:v>
      </x:c>
      <x:c r="B160" s="10" t="str">
        <x:v>It is involved in the biological process described with proteolysis</x:v>
      </x:c>
      <x:c r="C160" s="19" t="str">
        <x:f>IF(COUNTIF('Colleague 115'!$A$2:$A$116,A160)&gt;0,"Yes","No")</x:f>
        <x:v>No</x:v>
      </x:c>
      <x:c r="D160" s="19" t="str">
        <x:f>IF(COUNTIF('Volcano 402'!$A$2:$A$403,A160)&gt;0,"Yes","No")</x:f>
        <x:v>No</x:v>
      </x:c>
      <x:c r="E160" s="19" t="str">
        <x:f>IF(COUNTIF('Heatmap 169'!$A$2:$A$170,A160)&gt;0,"Yes","No")</x:f>
        <x:v>Yes</x:v>
      </x:c>
      <x:c r="F160" s="19" t="n">
        <x:f>COUNTIF(C160:E160,"Yes")</x:f>
        <x:v>1</x:v>
      </x:c>
      <x:c r="G160" s="10" t="str">
        <x:f>IF(F160=3,"All three",IF(F160=2,IF(C160="No","Volcano + heatmap",IF(D160="No","Colleague + heatmap","Colleague + volcano")),IF(C160="Yes","Colleague only",IF(D160="Yes","Volcano only","Heatmap only"))))</x:f>
        <x:v>Heatmap only</x:v>
      </x:c>
      <x:c r="H160" s="10" t="str"/>
      <x:c r="I160" s="10" t="str"/>
      <x:c r="J160" s="10" t="str"/>
      <x:c r="K160" s="10" t="str"/>
      <x:c r="L160" s="10" t="str">
        <x:v>Functional candidate</x:v>
      </x:c>
      <x:c r="M160" s="10" t="str">
        <x:v>Nutrition/metabolism</x:v>
      </x:c>
      <x:c r="N160" s="10" t="str">
        <x:v>Not DEG</x:v>
      </x:c>
    </x:row>
    <x:row r="161">
      <x:c r="A161" s="10" t="str">
        <x:v>LOC126281438</x:v>
      </x:c>
      <x:c r="B161" s="10" t="str">
        <x:v>sorbitol dehydrogenase-like</x:v>
      </x:c>
      <x:c r="C161" s="19" t="str">
        <x:f>IF(COUNTIF('Colleague 115'!$A$2:$A$116,A161)&gt;0,"Yes","No")</x:f>
        <x:v>No</x:v>
      </x:c>
      <x:c r="D161" s="19" t="str">
        <x:f>IF(COUNTIF('Volcano 402'!$A$2:$A$403,A161)&gt;0,"Yes","No")</x:f>
        <x:v>Yes</x:v>
      </x:c>
      <x:c r="E161" s="19" t="str">
        <x:f>IF(COUNTIF('Heatmap 169'!$A$2:$A$170,A161)&gt;0,"Yes","No")</x:f>
        <x:v>No</x:v>
      </x:c>
      <x:c r="F161" s="19" t="n">
        <x:f>COUNTIF(C161:E161,"Yes")</x:f>
        <x:v>1</x:v>
      </x:c>
      <x:c r="G161" s="10" t="str">
        <x:f>IF(F161=3,"All three",IF(F161=2,IF(C161="No","Volcano + heatmap",IF(D161="No","Colleague + heatmap","Colleague + volcano")),IF(C161="Yes","Colleague only",IF(D161="Yes","Volcano only","Heatmap only"))))</x:f>
        <x:v>Volcano only</x:v>
      </x:c>
      <x:c r="H161" s="10" t="str"/>
      <x:c r="I161" s="10" t="str"/>
      <x:c r="J161" s="10" t="str">
        <x:v>Detoxification / stress</x:v>
      </x:c>
      <x:c r="K161" s="10" t="str">
        <x:v>infection_diet50</x:v>
      </x:c>
      <x:c r="L161" s="10" t="str"/>
      <x:c r="M161" s="10" t="str"/>
      <x:c r="N161" s="10" t="str"/>
    </x:row>
    <x:row r="162">
      <x:c r="A162" s="10" t="str">
        <x:v>LOC126281446</x:v>
      </x:c>
      <x:c r="B162" s="10" t="str">
        <x:v>aldehyde dehydrogenase, mitochondrial</x:v>
      </x:c>
      <x:c r="C162" s="19" t="str">
        <x:f>IF(COUNTIF('Colleague 115'!$A$2:$A$116,A162)&gt;0,"Yes","No")</x:f>
        <x:v>No</x:v>
      </x:c>
      <x:c r="D162" s="19" t="str">
        <x:f>IF(COUNTIF('Volcano 402'!$A$2:$A$403,A162)&gt;0,"Yes","No")</x:f>
        <x:v>Yes</x:v>
      </x:c>
      <x:c r="E162" s="19" t="str">
        <x:f>IF(COUNTIF('Heatmap 169'!$A$2:$A$170,A162)&gt;0,"Yes","No")</x:f>
        <x:v>No</x:v>
      </x:c>
      <x:c r="F162" s="19" t="n">
        <x:f>COUNTIF(C162:E162,"Yes")</x:f>
        <x:v>1</x:v>
      </x:c>
      <x:c r="G162" s="10" t="str">
        <x:f>IF(F162=3,"All three",IF(F162=2,IF(C162="No","Volcano + heatmap",IF(D162="No","Colleague + heatmap","Colleague + volcano")),IF(C162="Yes","Colleague only",IF(D162="Yes","Volcano only","Heatmap only"))))</x:f>
        <x:v>Volcano only</x:v>
      </x:c>
      <x:c r="H162" s="10" t="str"/>
      <x:c r="I162" s="10" t="str"/>
      <x:c r="J162" s="10" t="str">
        <x:v>Detoxification / stress</x:v>
      </x:c>
      <x:c r="K162" s="10" t="str">
        <x:v>infection_average_all_diets; infection_diet33; infection_diet50; infection_diet83</x:v>
      </x:c>
      <x:c r="L162" s="10" t="str"/>
      <x:c r="M162" s="10" t="str"/>
      <x:c r="N162" s="10" t="str"/>
    </x:row>
    <x:row r="163">
      <x:c r="A163" s="10" t="str">
        <x:v>LOC126281478</x:v>
      </x:c>
      <x:c r="B163" s="10" t="str">
        <x:v>glycogen-binding subunit 76A</x:v>
      </x:c>
      <x:c r="C163" s="19" t="str">
        <x:f>IF(COUNTIF('Colleague 115'!$A$2:$A$116,A163)&gt;0,"Yes","No")</x:f>
        <x:v>No</x:v>
      </x:c>
      <x:c r="D163" s="19" t="str">
        <x:f>IF(COUNTIF('Volcano 402'!$A$2:$A$403,A163)&gt;0,"Yes","No")</x:f>
        <x:v>Yes</x:v>
      </x:c>
      <x:c r="E163" s="19" t="str">
        <x:f>IF(COUNTIF('Heatmap 169'!$A$2:$A$170,A163)&gt;0,"Yes","No")</x:f>
        <x:v>No</x:v>
      </x:c>
      <x:c r="F163" s="19" t="n">
        <x:f>COUNTIF(C163:E163,"Yes")</x:f>
        <x:v>1</x:v>
      </x:c>
      <x:c r="G163" s="10" t="str">
        <x:f>IF(F163=3,"All three",IF(F163=2,IF(C163="No","Volcano + heatmap",IF(D163="No","Colleague + heatmap","Colleague + volcano")),IF(C163="Yes","Colleague only",IF(D163="Yes","Volcano only","Heatmap only"))))</x:f>
        <x:v>Volcano only</x:v>
      </x:c>
      <x:c r="H163" s="10" t="str"/>
      <x:c r="I163" s="10" t="str"/>
      <x:c r="J163" s="10" t="str">
        <x:v>Glycogen synthesis / storage</x:v>
      </x:c>
      <x:c r="K163" s="10" t="str">
        <x:v>infection_average_all_diets</x:v>
      </x:c>
      <x:c r="L163" s="10" t="str"/>
      <x:c r="M163" s="10" t="str"/>
      <x:c r="N163" s="10" t="str"/>
    </x:row>
    <x:row r="164">
      <x:c r="A164" s="10" t="str">
        <x:v>LOC126281485</x:v>
      </x:c>
      <x:c r="B164" s="10" t="str">
        <x:v>Immunoglobulin</x:v>
      </x:c>
      <x:c r="C164" s="19" t="str">
        <x:f>IF(COUNTIF('Colleague 115'!$A$2:$A$116,A164)&gt;0,"Yes","No")</x:f>
        <x:v>No</x:v>
      </x:c>
      <x:c r="D164" s="19" t="str">
        <x:f>IF(COUNTIF('Volcano 402'!$A$2:$A$403,A164)&gt;0,"Yes","No")</x:f>
        <x:v>No</x:v>
      </x:c>
      <x:c r="E164" s="19" t="str">
        <x:f>IF(COUNTIF('Heatmap 169'!$A$2:$A$170,A164)&gt;0,"Yes","No")</x:f>
        <x:v>Yes</x:v>
      </x:c>
      <x:c r="F164" s="19" t="n">
        <x:f>COUNTIF(C164:E164,"Yes")</x:f>
        <x:v>1</x:v>
      </x:c>
      <x:c r="G164" s="10" t="str">
        <x:f>IF(F164=3,"All three",IF(F164=2,IF(C164="No","Volcano + heatmap",IF(D164="No","Colleague + heatmap","Colleague + volcano")),IF(C164="Yes","Colleague only",IF(D164="Yes","Volcano only","Heatmap only"))))</x:f>
        <x:v>Heatmap only</x:v>
      </x:c>
      <x:c r="H164" s="10" t="str"/>
      <x:c r="I164" s="10" t="str"/>
      <x:c r="J164" s="10" t="str"/>
      <x:c r="K164" s="10" t="str"/>
      <x:c r="L164" s="10" t="str">
        <x:v>Functional candidate</x:v>
      </x:c>
      <x:c r="M164" s="10" t="str">
        <x:v>Immune-related</x:v>
      </x:c>
      <x:c r="N164" s="10" t="str">
        <x:v>Not DEG</x:v>
      </x:c>
    </x:row>
    <x:row r="165">
      <x:c r="A165" s="10" t="str">
        <x:v>LOC126281508</x:v>
      </x:c>
      <x:c r="B165" s="10" t="str">
        <x:v>probable cytochrome P450 6a13</x:v>
      </x:c>
      <x:c r="C165" s="19" t="str">
        <x:f>IF(COUNTIF('Colleague 115'!$A$2:$A$116,A165)&gt;0,"Yes","No")</x:f>
        <x:v>No</x:v>
      </x:c>
      <x:c r="D165" s="19" t="str">
        <x:f>IF(COUNTIF('Volcano 402'!$A$2:$A$403,A165)&gt;0,"Yes","No")</x:f>
        <x:v>Yes</x:v>
      </x:c>
      <x:c r="E165" s="19" t="str">
        <x:f>IF(COUNTIF('Heatmap 169'!$A$2:$A$170,A165)&gt;0,"Yes","No")</x:f>
        <x:v>No</x:v>
      </x:c>
      <x:c r="F165" s="19" t="n">
        <x:f>COUNTIF(C165:E165,"Yes")</x:f>
        <x:v>1</x:v>
      </x:c>
      <x:c r="G165" s="10" t="str">
        <x:f>IF(F165=3,"All three",IF(F165=2,IF(C165="No","Volcano + heatmap",IF(D165="No","Colleague + heatmap","Colleague + volcano")),IF(C165="Yes","Colleague only",IF(D165="Yes","Volcano only","Heatmap only"))))</x:f>
        <x:v>Volcano only</x:v>
      </x:c>
      <x:c r="H165" s="10" t="str"/>
      <x:c r="I165" s="10" t="str"/>
      <x:c r="J165" s="10" t="str">
        <x:v>Detoxification / stress</x:v>
      </x:c>
      <x:c r="K165" s="10" t="str">
        <x:v>infected_diet33_vs50; infection_diet50</x:v>
      </x:c>
      <x:c r="L165" s="10" t="str"/>
      <x:c r="M165" s="10" t="str"/>
      <x:c r="N165" s="10" t="str"/>
    </x:row>
    <x:row r="166">
      <x:c r="A166" s="10" t="str">
        <x:v>LOC126281532</x:v>
      </x:c>
      <x:c r="B166" s="10" t="str">
        <x:v>Transaldolase is important for the balance of metabolites in the pentose-phosphate pathway</x:v>
      </x:c>
      <x:c r="C166" s="19" t="str">
        <x:f>IF(COUNTIF('Colleague 115'!$A$2:$A$116,A166)&gt;0,"Yes","No")</x:f>
        <x:v>No</x:v>
      </x:c>
      <x:c r="D166" s="19" t="str">
        <x:f>IF(COUNTIF('Volcano 402'!$A$2:$A$403,A166)&gt;0,"Yes","No")</x:f>
        <x:v>No</x:v>
      </x:c>
      <x:c r="E166" s="19" t="str">
        <x:f>IF(COUNTIF('Heatmap 169'!$A$2:$A$170,A166)&gt;0,"Yes","No")</x:f>
        <x:v>Yes</x:v>
      </x:c>
      <x:c r="F166" s="19" t="n">
        <x:f>COUNTIF(C166:E166,"Yes")</x:f>
        <x:v>1</x:v>
      </x:c>
      <x:c r="G166" s="10" t="str">
        <x:f>IF(F166=3,"All three",IF(F166=2,IF(C166="No","Volcano + heatmap",IF(D166="No","Colleague + heatmap","Colleague + volcano")),IF(C166="Yes","Colleague only",IF(D166="Yes","Volcano only","Heatmap only"))))</x:f>
        <x:v>Heatmap only</x:v>
      </x:c>
      <x:c r="H166" s="10" t="str"/>
      <x:c r="I166" s="10" t="str"/>
      <x:c r="J166" s="10" t="str"/>
      <x:c r="K166" s="10" t="str"/>
      <x:c r="L166" s="10" t="str">
        <x:v>Top DEG</x:v>
      </x:c>
      <x:c r="M166" s="10" t="str">
        <x:v>Other strong DEG</x:v>
      </x:c>
      <x:c r="N166" s="10" t="str">
        <x:v>DEG</x:v>
      </x:c>
    </x:row>
    <x:row r="167">
      <x:c r="A167" s="10" t="str">
        <x:v>LOC126281581</x:v>
      </x:c>
      <x:c r="B167" s="10" t="str">
        <x:v>modular serine protease-like</x:v>
      </x:c>
      <x:c r="C167" s="19" t="str">
        <x:f>IF(COUNTIF('Colleague 115'!$A$2:$A$116,A167)&gt;0,"Yes","No")</x:f>
        <x:v>Yes</x:v>
      </x:c>
      <x:c r="D167" s="19" t="str">
        <x:f>IF(COUNTIF('Volcano 402'!$A$2:$A$403,A167)&gt;0,"Yes","No")</x:f>
        <x:v>No</x:v>
      </x:c>
      <x:c r="E167" s="19" t="str">
        <x:f>IF(COUNTIF('Heatmap 169'!$A$2:$A$170,A167)&gt;0,"Yes","No")</x:f>
        <x:v>No</x:v>
      </x:c>
      <x:c r="F167" s="19" t="n">
        <x:f>COUNTIF(C167:E167,"Yes")</x:f>
        <x:v>1</x:v>
      </x:c>
      <x:c r="G167" s="10" t="str">
        <x:f>IF(F167=3,"All three",IF(F167=2,IF(C167="No","Volcano + heatmap",IF(D167="No","Colleague + heatmap","Colleague + volcano")),IF(C167="Yes","Colleague only",IF(D167="Yes","Volcano only","Heatmap only"))))</x:f>
        <x:v>Colleague only</x:v>
      </x:c>
      <x:c r="H167" s="10" t="str">
        <x:v>Innate Immune Recognition &amp; Signaling</x:v>
      </x:c>
      <x:c r="I167" s="10" t="str">
        <x:v>Serine Protease Cascades</x:v>
      </x:c>
      <x:c r="J167" s="10" t="str"/>
      <x:c r="K167" s="10" t="str"/>
      <x:c r="L167" s="10" t="str"/>
      <x:c r="M167" s="10" t="str"/>
      <x:c r="N167" s="10" t="str"/>
    </x:row>
    <x:row r="168">
      <x:c r="A168" s="10" t="str">
        <x:v>LOC126281608</x:v>
      </x:c>
      <x:c r="B168" s="10" t="str">
        <x:v>protein kinase C, brain isozyme</x:v>
      </x:c>
      <x:c r="C168" s="19" t="str">
        <x:f>IF(COUNTIF('Colleague 115'!$A$2:$A$116,A168)&gt;0,"Yes","No")</x:f>
        <x:v>No</x:v>
      </x:c>
      <x:c r="D168" s="19" t="str">
        <x:f>IF(COUNTIF('Volcano 402'!$A$2:$A$403,A168)&gt;0,"Yes","No")</x:f>
        <x:v>Yes</x:v>
      </x:c>
      <x:c r="E168" s="19" t="str">
        <x:f>IF(COUNTIF('Heatmap 169'!$A$2:$A$170,A168)&gt;0,"Yes","No")</x:f>
        <x:v>No</x:v>
      </x:c>
      <x:c r="F168" s="19" t="n">
        <x:f>COUNTIF(C168:E168,"Yes")</x:f>
        <x:v>1</x:v>
      </x:c>
      <x:c r="G168" s="10" t="str">
        <x:f>IF(F168=3,"All three",IF(F168=2,IF(C168="No","Volcano + heatmap",IF(D168="No","Colleague + heatmap","Colleague + volcano")),IF(C168="Yes","Colleague only",IF(D168="Yes","Volcano only","Heatmap only"))))</x:f>
        <x:v>Volcano only</x:v>
      </x:c>
      <x:c r="H168" s="10" t="str"/>
      <x:c r="I168" s="10" t="str"/>
      <x:c r="J168" s="10" t="str">
        <x:v>Lipid synthesis / metabolism</x:v>
      </x:c>
      <x:c r="K168" s="10" t="str">
        <x:v>infection_diet50</x:v>
      </x:c>
      <x:c r="L168" s="10" t="str"/>
      <x:c r="M168" s="10" t="str"/>
      <x:c r="N168" s="10" t="str"/>
    </x:row>
    <x:row r="169">
      <x:c r="A169" s="10" t="str">
        <x:v>LOC126281672</x:v>
      </x:c>
      <x:c r="B169" s="10" t="str">
        <x:v>D-aspartate oxidase</x:v>
      </x:c>
      <x:c r="C169" s="19" t="str">
        <x:f>IF(COUNTIF('Colleague 115'!$A$2:$A$116,A169)&gt;0,"Yes","No")</x:f>
        <x:v>No</x:v>
      </x:c>
      <x:c r="D169" s="19" t="str">
        <x:f>IF(COUNTIF('Volcano 402'!$A$2:$A$403,A169)&gt;0,"Yes","No")</x:f>
        <x:v>Yes</x:v>
      </x:c>
      <x:c r="E169" s="19" t="str">
        <x:f>IF(COUNTIF('Heatmap 169'!$A$2:$A$170,A169)&gt;0,"Yes","No")</x:f>
        <x:v>No</x:v>
      </x:c>
      <x:c r="F169" s="19" t="n">
        <x:f>COUNTIF(C169:E169,"Yes")</x:f>
        <x:v>1</x:v>
      </x:c>
      <x:c r="G169" s="10" t="str">
        <x:f>IF(F169=3,"All three",IF(F169=2,IF(C169="No","Volcano + heatmap",IF(D169="No","Colleague + heatmap","Colleague + volcano")),IF(C169="Yes","Colleague only",IF(D169="Yes","Volcano only","Heatmap only"))))</x:f>
        <x:v>Volcano only</x:v>
      </x:c>
      <x:c r="H169" s="10" t="str"/>
      <x:c r="I169" s="10" t="str"/>
      <x:c r="J169" s="10" t="str">
        <x:v>Detoxification / stress</x:v>
      </x:c>
      <x:c r="K169" s="10" t="str">
        <x:v>infection_average_all_diets; infection_diet33; infection_diet50</x:v>
      </x:c>
      <x:c r="L169" s="10" t="str"/>
      <x:c r="M169" s="10" t="str"/>
      <x:c r="N169" s="10" t="str"/>
    </x:row>
    <x:row r="170">
      <x:c r="A170" s="10" t="str">
        <x:v>LOC126281690</x:v>
      </x:c>
      <x:c r="B170" s="10" t="str">
        <x:v>TNF receptor-associated factor 3</x:v>
      </x:c>
      <x:c r="C170" s="19" t="str">
        <x:f>IF(COUNTIF('Colleague 115'!$A$2:$A$116,A170)&gt;0,"Yes","No")</x:f>
        <x:v>Yes</x:v>
      </x:c>
      <x:c r="D170" s="19" t="str">
        <x:f>IF(COUNTIF('Volcano 402'!$A$2:$A$403,A170)&gt;0,"Yes","No")</x:f>
        <x:v>No</x:v>
      </x:c>
      <x:c r="E170" s="19" t="str">
        <x:f>IF(COUNTIF('Heatmap 169'!$A$2:$A$170,A170)&gt;0,"Yes","No")</x:f>
        <x:v>No</x:v>
      </x:c>
      <x:c r="F170" s="19" t="n">
        <x:f>COUNTIF(C170:E170,"Yes")</x:f>
        <x:v>1</x:v>
      </x:c>
      <x:c r="G170" s="10" t="str">
        <x:f>IF(F170=3,"All three",IF(F170=2,IF(C170="No","Volcano + heatmap",IF(D170="No","Colleague + heatmap","Colleague + volcano")),IF(C170="Yes","Colleague only",IF(D170="Yes","Volcano only","Heatmap only"))))</x:f>
        <x:v>Colleague only</x:v>
      </x:c>
      <x:c r="H170" s="10" t="str">
        <x:v>Innate Immune Recognition &amp; Signaling</x:v>
      </x:c>
      <x:c r="I170" s="10" t="str">
        <x:v>Immune Activation &amp; Sensing (Toll/JAK-STAT/NF-κB)</x:v>
      </x:c>
      <x:c r="J170" s="10" t="str"/>
      <x:c r="K170" s="10" t="str"/>
      <x:c r="L170" s="10" t="str"/>
      <x:c r="M170" s="10" t="str"/>
      <x:c r="N170" s="10" t="str"/>
    </x:row>
    <x:row r="171">
      <x:c r="A171" s="10" t="str">
        <x:v>LOC126281691</x:v>
      </x:c>
      <x:c r="B171" s="10" t="str">
        <x:v>lipase 3-like</x:v>
      </x:c>
      <x:c r="C171" s="19" t="str">
        <x:f>IF(COUNTIF('Colleague 115'!$A$2:$A$116,A171)&gt;0,"Yes","No")</x:f>
        <x:v>No</x:v>
      </x:c>
      <x:c r="D171" s="19" t="str">
        <x:f>IF(COUNTIF('Volcano 402'!$A$2:$A$403,A171)&gt;0,"Yes","No")</x:f>
        <x:v>Yes</x:v>
      </x:c>
      <x:c r="E171" s="19" t="str">
        <x:f>IF(COUNTIF('Heatmap 169'!$A$2:$A$170,A171)&gt;0,"Yes","No")</x:f>
        <x:v>No</x:v>
      </x:c>
      <x:c r="F171" s="19" t="n">
        <x:f>COUNTIF(C171:E171,"Yes")</x:f>
        <x:v>1</x:v>
      </x:c>
      <x:c r="G171" s="10" t="str">
        <x:f>IF(F171=3,"All three",IF(F171=2,IF(C171="No","Volcano + heatmap",IF(D171="No","Colleague + heatmap","Colleague + volcano")),IF(C171="Yes","Colleague only",IF(D171="Yes","Volcano only","Heatmap only"))))</x:f>
        <x:v>Volcano only</x:v>
      </x:c>
      <x:c r="H171" s="10" t="str"/>
      <x:c r="I171" s="10" t="str"/>
      <x:c r="J171" s="10" t="str">
        <x:v>Lipid synthesis / metabolism</x:v>
      </x:c>
      <x:c r="K171" s="10" t="str">
        <x:v>infection_average_all_diets; infection_diet33; infection_diet50</x:v>
      </x:c>
      <x:c r="L171" s="10" t="str"/>
      <x:c r="M171" s="10" t="str"/>
      <x:c r="N171" s="10" t="str"/>
    </x:row>
    <x:row r="172">
      <x:c r="A172" s="10" t="str">
        <x:v>LOC126281694</x:v>
      </x:c>
      <x:c r="B172" s="10" t="str">
        <x:v>trans-1,2-dihydrobenzene-1,2-diol dehydrogenase-like</x:v>
      </x:c>
      <x:c r="C172" s="19" t="str">
        <x:f>IF(COUNTIF('Colleague 115'!$A$2:$A$116,A172)&gt;0,"Yes","No")</x:f>
        <x:v>No</x:v>
      </x:c>
      <x:c r="D172" s="19" t="str">
        <x:f>IF(COUNTIF('Volcano 402'!$A$2:$A$403,A172)&gt;0,"Yes","No")</x:f>
        <x:v>Yes</x:v>
      </x:c>
      <x:c r="E172" s="19" t="str">
        <x:f>IF(COUNTIF('Heatmap 169'!$A$2:$A$170,A172)&gt;0,"Yes","No")</x:f>
        <x:v>No</x:v>
      </x:c>
      <x:c r="F172" s="19" t="n">
        <x:f>COUNTIF(C172:E172,"Yes")</x:f>
        <x:v>1</x:v>
      </x:c>
      <x:c r="G172" s="10" t="str">
        <x:f>IF(F172=3,"All three",IF(F172=2,IF(C172="No","Volcano + heatmap",IF(D172="No","Colleague + heatmap","Colleague + volcano")),IF(C172="Yes","Colleague only",IF(D172="Yes","Volcano only","Heatmap only"))))</x:f>
        <x:v>Volcano only</x:v>
      </x:c>
      <x:c r="H172" s="10" t="str"/>
      <x:c r="I172" s="10" t="str"/>
      <x:c r="J172" s="10" t="str">
        <x:v>Detoxification / stress</x:v>
      </x:c>
      <x:c r="K172" s="10" t="str">
        <x:v>infection_average_all_diets; infection_diet33; infection_diet50; infection_diet83</x:v>
      </x:c>
      <x:c r="L172" s="10" t="str"/>
      <x:c r="M172" s="10" t="str"/>
      <x:c r="N172" s="10" t="str"/>
    </x:row>
    <x:row r="173">
      <x:c r="A173" s="10" t="str">
        <x:v>LOC126281715</x:v>
      </x:c>
      <x:c r="B173" s="10" t="str">
        <x:v>caspase-1-like</x:v>
      </x:c>
      <x:c r="C173" s="19" t="str">
        <x:f>IF(COUNTIF('Colleague 115'!$A$2:$A$116,A173)&gt;0,"Yes","No")</x:f>
        <x:v>Yes</x:v>
      </x:c>
      <x:c r="D173" s="19" t="str">
        <x:f>IF(COUNTIF('Volcano 402'!$A$2:$A$403,A173)&gt;0,"Yes","No")</x:f>
        <x:v>No</x:v>
      </x:c>
      <x:c r="E173" s="19" t="str">
        <x:f>IF(COUNTIF('Heatmap 169'!$A$2:$A$170,A173)&gt;0,"Yes","No")</x:f>
        <x:v>No</x:v>
      </x:c>
      <x:c r="F173" s="19" t="n">
        <x:f>COUNTIF(C173:E173,"Yes")</x:f>
        <x:v>1</x:v>
      </x:c>
      <x:c r="G173" s="10" t="str">
        <x:f>IF(F173=3,"All three",IF(F173=2,IF(C173="No","Volcano + heatmap",IF(D173="No","Colleague + heatmap","Colleague + volcano")),IF(C173="Yes","Colleague only",IF(D173="Yes","Volcano only","Heatmap only"))))</x:f>
        <x:v>Colleague only</x:v>
      </x:c>
      <x:c r="H173" s="10" t="str">
        <x:v>Cellular Immunity</x:v>
      </x:c>
      <x:c r="I173" s="10" t="str">
        <x:v>Inflammasome Assembly &amp; Pyroptosis</x:v>
      </x:c>
      <x:c r="J173" s="10" t="str"/>
      <x:c r="K173" s="10" t="str"/>
      <x:c r="L173" s="10" t="str"/>
      <x:c r="M173" s="10" t="str"/>
      <x:c r="N173" s="10" t="str"/>
    </x:row>
    <x:row r="174">
      <x:c r="A174" s="10" t="str">
        <x:v>LOC126281729</x:v>
      </x:c>
      <x:c r="B174" s="10" t="str">
        <x:v>caspase-1-like</x:v>
      </x:c>
      <x:c r="C174" s="19" t="str">
        <x:f>IF(COUNTIF('Colleague 115'!$A$2:$A$116,A174)&gt;0,"Yes","No")</x:f>
        <x:v>Yes</x:v>
      </x:c>
      <x:c r="D174" s="19" t="str">
        <x:f>IF(COUNTIF('Volcano 402'!$A$2:$A$403,A174)&gt;0,"Yes","No")</x:f>
        <x:v>No</x:v>
      </x:c>
      <x:c r="E174" s="19" t="str">
        <x:f>IF(COUNTIF('Heatmap 169'!$A$2:$A$170,A174)&gt;0,"Yes","No")</x:f>
        <x:v>No</x:v>
      </x:c>
      <x:c r="F174" s="19" t="n">
        <x:f>COUNTIF(C174:E174,"Yes")</x:f>
        <x:v>1</x:v>
      </x:c>
      <x:c r="G174" s="10" t="str">
        <x:f>IF(F174=3,"All three",IF(F174=2,IF(C174="No","Volcano + heatmap",IF(D174="No","Colleague + heatmap","Colleague + volcano")),IF(C174="Yes","Colleague only",IF(D174="Yes","Volcano only","Heatmap only"))))</x:f>
        <x:v>Colleague only</x:v>
      </x:c>
      <x:c r="H174" s="10" t="str">
        <x:v>Cellular Immunity</x:v>
      </x:c>
      <x:c r="I174" s="10" t="str">
        <x:v>Inflammasome Assembly &amp; Pyroptosis</x:v>
      </x:c>
      <x:c r="J174" s="10" t="str"/>
      <x:c r="K174" s="10" t="str"/>
      <x:c r="L174" s="10" t="str"/>
      <x:c r="M174" s="10" t="str"/>
      <x:c r="N174" s="10" t="str"/>
    </x:row>
    <x:row r="175">
      <x:c r="A175" s="10" t="str">
        <x:v>LOC126281758</x:v>
      </x:c>
      <x:c r="B175" s="10" t="str">
        <x:v>phorbol ester/diacylglycerol-binding protein unc-13-like</x:v>
      </x:c>
      <x:c r="C175" s="19" t="str">
        <x:f>IF(COUNTIF('Colleague 115'!$A$2:$A$116,A175)&gt;0,"Yes","No")</x:f>
        <x:v>No</x:v>
      </x:c>
      <x:c r="D175" s="19" t="str">
        <x:f>IF(COUNTIF('Volcano 402'!$A$2:$A$403,A175)&gt;0,"Yes","No")</x:f>
        <x:v>Yes</x:v>
      </x:c>
      <x:c r="E175" s="19" t="str">
        <x:f>IF(COUNTIF('Heatmap 169'!$A$2:$A$170,A175)&gt;0,"Yes","No")</x:f>
        <x:v>No</x:v>
      </x:c>
      <x:c r="F175" s="19" t="n">
        <x:f>COUNTIF(C175:E175,"Yes")</x:f>
        <x:v>1</x:v>
      </x:c>
      <x:c r="G175" s="10" t="str">
        <x:f>IF(F175=3,"All three",IF(F175=2,IF(C175="No","Volcano + heatmap",IF(D175="No","Colleague + heatmap","Colleague + volcano")),IF(C175="Yes","Colleague only",IF(D175="Yes","Volcano only","Heatmap only"))))</x:f>
        <x:v>Volcano only</x:v>
      </x:c>
      <x:c r="H175" s="10" t="str"/>
      <x:c r="I175" s="10" t="str"/>
      <x:c r="J175" s="10" t="str">
        <x:v>Lipid synthesis / metabolism</x:v>
      </x:c>
      <x:c r="K175" s="10" t="str">
        <x:v>infection_average_all_diets</x:v>
      </x:c>
      <x:c r="L175" s="10" t="str"/>
      <x:c r="M175" s="10" t="str"/>
      <x:c r="N175" s="10" t="str"/>
    </x:row>
    <x:row r="176">
      <x:c r="A176" s="10" t="str">
        <x:v>LOC126281781</x:v>
      </x:c>
      <x:c r="B176" s="10" t="str">
        <x:v>acetylcholinesterase-like</x:v>
      </x:c>
      <x:c r="C176" s="19" t="str">
        <x:f>IF(COUNTIF('Colleague 115'!$A$2:$A$116,A176)&gt;0,"Yes","No")</x:f>
        <x:v>No</x:v>
      </x:c>
      <x:c r="D176" s="19" t="str">
        <x:f>IF(COUNTIF('Volcano 402'!$A$2:$A$403,A176)&gt;0,"Yes","No")</x:f>
        <x:v>Yes</x:v>
      </x:c>
      <x:c r="E176" s="19" t="str">
        <x:f>IF(COUNTIF('Heatmap 169'!$A$2:$A$170,A176)&gt;0,"Yes","No")</x:f>
        <x:v>No</x:v>
      </x:c>
      <x:c r="F176" s="19" t="n">
        <x:f>COUNTIF(C176:E176,"Yes")</x:f>
        <x:v>1</x:v>
      </x:c>
      <x:c r="G176" s="10" t="str">
        <x:f>IF(F176=3,"All three",IF(F176=2,IF(C176="No","Volcano + heatmap",IF(D176="No","Colleague + heatmap","Colleague + volcano")),IF(C176="Yes","Colleague only",IF(D176="Yes","Volcano only","Heatmap only"))))</x:f>
        <x:v>Volcano only</x:v>
      </x:c>
      <x:c r="H176" s="10" t="str"/>
      <x:c r="I176" s="10" t="str"/>
      <x:c r="J176" s="10" t="str">
        <x:v>Lipid synthesis / metabolism</x:v>
      </x:c>
      <x:c r="K176" s="10" t="str">
        <x:v>infection_average_all_diets; infection_diet50; infection_diet83</x:v>
      </x:c>
      <x:c r="L176" s="10" t="str"/>
      <x:c r="M176" s="10" t="str"/>
      <x:c r="N176" s="10" t="str"/>
    </x:row>
    <x:row r="177">
      <x:c r="A177" s="10" t="str">
        <x:v>LOC126281795</x:v>
      </x:c>
      <x:c r="B177" s="10" t="str">
        <x:v>allatostatins</x:v>
      </x:c>
      <x:c r="C177" s="19" t="str">
        <x:f>IF(COUNTIF('Colleague 115'!$A$2:$A$116,A177)&gt;0,"Yes","No")</x:f>
        <x:v>No</x:v>
      </x:c>
      <x:c r="D177" s="19" t="str">
        <x:f>IF(COUNTIF('Volcano 402'!$A$2:$A$403,A177)&gt;0,"Yes","No")</x:f>
        <x:v>Yes</x:v>
      </x:c>
      <x:c r="E177" s="19" t="str">
        <x:f>IF(COUNTIF('Heatmap 169'!$A$2:$A$170,A177)&gt;0,"Yes","No")</x:f>
        <x:v>No</x:v>
      </x:c>
      <x:c r="F177" s="19" t="n">
        <x:f>COUNTIF(C177:E177,"Yes")</x:f>
        <x:v>1</x:v>
      </x:c>
      <x:c r="G177" s="10" t="str">
        <x:f>IF(F177=3,"All three",IF(F177=2,IF(C177="No","Volcano + heatmap",IF(D177="No","Colleague + heatmap","Colleague + volcano")),IF(C177="Yes","Colleague only",IF(D177="Yes","Volcano only","Heatmap only"))))</x:f>
        <x:v>Volcano only</x:v>
      </x:c>
      <x:c r="H177" s="10" t="str"/>
      <x:c r="I177" s="10" t="str"/>
      <x:c r="J177" s="10" t="str">
        <x:v>Immune-related</x:v>
      </x:c>
      <x:c r="K177" s="10" t="str">
        <x:v>infection_average_all_diets</x:v>
      </x:c>
      <x:c r="L177" s="10" t="str"/>
      <x:c r="M177" s="10" t="str"/>
      <x:c r="N177" s="10" t="str"/>
    </x:row>
    <x:row r="178">
      <x:c r="A178" s="10" t="str">
        <x:v>LOC126281857</x:v>
      </x:c>
      <x:c r="B178" s="10" t="str">
        <x:v>probable cytochrome P450 6a14</x:v>
      </x:c>
      <x:c r="C178" s="19" t="str">
        <x:f>IF(COUNTIF('Colleague 115'!$A$2:$A$116,A178)&gt;0,"Yes","No")</x:f>
        <x:v>No</x:v>
      </x:c>
      <x:c r="D178" s="19" t="str">
        <x:f>IF(COUNTIF('Volcano 402'!$A$2:$A$403,A178)&gt;0,"Yes","No")</x:f>
        <x:v>Yes</x:v>
      </x:c>
      <x:c r="E178" s="19" t="str">
        <x:f>IF(COUNTIF('Heatmap 169'!$A$2:$A$170,A178)&gt;0,"Yes","No")</x:f>
        <x:v>No</x:v>
      </x:c>
      <x:c r="F178" s="19" t="n">
        <x:f>COUNTIF(C178:E178,"Yes")</x:f>
        <x:v>1</x:v>
      </x:c>
      <x:c r="G178" s="10" t="str">
        <x:f>IF(F178=3,"All three",IF(F178=2,IF(C178="No","Volcano + heatmap",IF(D178="No","Colleague + heatmap","Colleague + volcano")),IF(C178="Yes","Colleague only",IF(D178="Yes","Volcano only","Heatmap only"))))</x:f>
        <x:v>Volcano only</x:v>
      </x:c>
      <x:c r="H178" s="10" t="str"/>
      <x:c r="I178" s="10" t="str"/>
      <x:c r="J178" s="10" t="str">
        <x:v>Detoxification / stress</x:v>
      </x:c>
      <x:c r="K178" s="10" t="str">
        <x:v>infection_average_all_diets; infection_diet33; infection_diet50</x:v>
      </x:c>
      <x:c r="L178" s="10" t="str"/>
      <x:c r="M178" s="10" t="str"/>
      <x:c r="N178" s="10" t="str"/>
    </x:row>
    <x:row r="179">
      <x:c r="A179" s="10" t="str">
        <x:v>LOC126281915</x:v>
      </x:c>
      <x:c r="B179" s="10" t="str"/>
      <x:c r="C179" s="19" t="str">
        <x:f>IF(COUNTIF('Colleague 115'!$A$2:$A$116,A179)&gt;0,"Yes","No")</x:f>
        <x:v>No</x:v>
      </x:c>
      <x:c r="D179" s="19" t="str">
        <x:f>IF(COUNTIF('Volcano 402'!$A$2:$A$403,A179)&gt;0,"Yes","No")</x:f>
        <x:v>No</x:v>
      </x:c>
      <x:c r="E179" s="19" t="str">
        <x:f>IF(COUNTIF('Heatmap 169'!$A$2:$A$170,A179)&gt;0,"Yes","No")</x:f>
        <x:v>Yes</x:v>
      </x:c>
      <x:c r="F179" s="19" t="n">
        <x:f>COUNTIF(C179:E179,"Yes")</x:f>
        <x:v>1</x:v>
      </x:c>
      <x:c r="G179" s="10" t="str">
        <x:f>IF(F179=3,"All three",IF(F179=2,IF(C179="No","Volcano + heatmap",IF(D179="No","Colleague + heatmap","Colleague + volcano")),IF(C179="Yes","Colleague only",IF(D179="Yes","Volcano only","Heatmap only"))))</x:f>
        <x:v>Heatmap only</x:v>
      </x:c>
      <x:c r="H179" s="10" t="str"/>
      <x:c r="I179" s="10" t="str"/>
      <x:c r="J179" s="10" t="str"/>
      <x:c r="K179" s="10" t="str"/>
      <x:c r="L179" s="10" t="str">
        <x:v>Top DEG</x:v>
      </x:c>
      <x:c r="M179" s="10" t="str">
        <x:v>Other strong DEG</x:v>
      </x:c>
      <x:c r="N179" s="10" t="str">
        <x:v>DEG</x:v>
      </x:c>
    </x:row>
    <x:row r="180">
      <x:c r="A180" s="10" t="str">
        <x:v>LOC126281928</x:v>
      </x:c>
      <x:c r="B180" s="10" t="str">
        <x:v>dual oxidase-like</x:v>
      </x:c>
      <x:c r="C180" s="19" t="str">
        <x:f>IF(COUNTIF('Colleague 115'!$A$2:$A$116,A180)&gt;0,"Yes","No")</x:f>
        <x:v>No</x:v>
      </x:c>
      <x:c r="D180" s="19" t="str">
        <x:f>IF(COUNTIF('Volcano 402'!$A$2:$A$403,A180)&gt;0,"Yes","No")</x:f>
        <x:v>Yes</x:v>
      </x:c>
      <x:c r="E180" s="19" t="str">
        <x:f>IF(COUNTIF('Heatmap 169'!$A$2:$A$170,A180)&gt;0,"Yes","No")</x:f>
        <x:v>Yes</x:v>
      </x:c>
      <x:c r="F180" s="19" t="n">
        <x:f>COUNTIF(C180:E180,"Yes")</x:f>
        <x:v>2</x:v>
      </x:c>
      <x:c r="G180" s="10" t="str">
        <x:f>IF(F180=3,"All three",IF(F180=2,IF(C180="No","Volcano + heatmap",IF(D180="No","Colleague + heatmap","Colleague + volcano")),IF(C180="Yes","Colleague only",IF(D180="Yes","Volcano only","Heatmap only"))))</x:f>
        <x:v>Volcano + heatmap</x:v>
      </x:c>
      <x:c r="H180" s="10" t="str"/>
      <x:c r="I180" s="10" t="str"/>
      <x:c r="J180" s="10" t="str">
        <x:v>Detoxification / stress</x:v>
      </x:c>
      <x:c r="K180" s="10" t="str">
        <x:v>infection_average_all_diets</x:v>
      </x:c>
      <x:c r="L180" s="10" t="str">
        <x:v>Functional candidate</x:v>
      </x:c>
      <x:c r="M180" s="10" t="str">
        <x:v>Detoxification/stress</x:v>
      </x:c>
      <x:c r="N180" s="10" t="str">
        <x:v>Not DEG</x:v>
      </x:c>
    </x:row>
    <x:row r="181">
      <x:c r="A181" s="10" t="str">
        <x:v>LOC126281935</x:v>
      </x:c>
      <x:c r="B181" s="10" t="str">
        <x:v>cytochrome P450 6a2-like</x:v>
      </x:c>
      <x:c r="C181" s="19" t="str">
        <x:f>IF(COUNTIF('Colleague 115'!$A$2:$A$116,A181)&gt;0,"Yes","No")</x:f>
        <x:v>No</x:v>
      </x:c>
      <x:c r="D181" s="19" t="str">
        <x:f>IF(COUNTIF('Volcano 402'!$A$2:$A$403,A181)&gt;0,"Yes","No")</x:f>
        <x:v>Yes</x:v>
      </x:c>
      <x:c r="E181" s="19" t="str">
        <x:f>IF(COUNTIF('Heatmap 169'!$A$2:$A$170,A181)&gt;0,"Yes","No")</x:f>
        <x:v>Yes</x:v>
      </x:c>
      <x:c r="F181" s="19" t="n">
        <x:f>COUNTIF(C181:E181,"Yes")</x:f>
        <x:v>2</x:v>
      </x:c>
      <x:c r="G181" s="10" t="str">
        <x:f>IF(F181=3,"All three",IF(F181=2,IF(C181="No","Volcano + heatmap",IF(D181="No","Colleague + heatmap","Colleague + volcano")),IF(C181="Yes","Colleague only",IF(D181="Yes","Volcano only","Heatmap only"))))</x:f>
        <x:v>Volcano + heatmap</x:v>
      </x:c>
      <x:c r="H181" s="10" t="str"/>
      <x:c r="I181" s="10" t="str"/>
      <x:c r="J181" s="10" t="str">
        <x:v>Detoxification / stress</x:v>
      </x:c>
      <x:c r="K181" s="10" t="str">
        <x:v>infection_average_all_diets; infection_diet83</x:v>
      </x:c>
      <x:c r="L181" s="10" t="str">
        <x:v>Functional candidate</x:v>
      </x:c>
      <x:c r="M181" s="10" t="str">
        <x:v>Detoxification/stress</x:v>
      </x:c>
      <x:c r="N181" s="10" t="str">
        <x:v>DEG</x:v>
      </x:c>
    </x:row>
    <x:row r="182">
      <x:c r="A182" s="10" t="str">
        <x:v>LOC126281975</x:v>
      </x:c>
      <x:c r="B182" s="10" t="str">
        <x:v>sorbitol dehydrogenase-like</x:v>
      </x:c>
      <x:c r="C182" s="19" t="str">
        <x:f>IF(COUNTIF('Colleague 115'!$A$2:$A$116,A182)&gt;0,"Yes","No")</x:f>
        <x:v>No</x:v>
      </x:c>
      <x:c r="D182" s="19" t="str">
        <x:f>IF(COUNTIF('Volcano 402'!$A$2:$A$403,A182)&gt;0,"Yes","No")</x:f>
        <x:v>Yes</x:v>
      </x:c>
      <x:c r="E182" s="19" t="str">
        <x:f>IF(COUNTIF('Heatmap 169'!$A$2:$A$170,A182)&gt;0,"Yes","No")</x:f>
        <x:v>No</x:v>
      </x:c>
      <x:c r="F182" s="19" t="n">
        <x:f>COUNTIF(C182:E182,"Yes")</x:f>
        <x:v>1</x:v>
      </x:c>
      <x:c r="G182" s="10" t="str">
        <x:f>IF(F182=3,"All three",IF(F182=2,IF(C182="No","Volcano + heatmap",IF(D182="No","Colleague + heatmap","Colleague + volcano")),IF(C182="Yes","Colleague only",IF(D182="Yes","Volcano only","Heatmap only"))))</x:f>
        <x:v>Volcano only</x:v>
      </x:c>
      <x:c r="H182" s="10" t="str"/>
      <x:c r="I182" s="10" t="str"/>
      <x:c r="J182" s="10" t="str">
        <x:v>Detoxification / stress</x:v>
      </x:c>
      <x:c r="K182" s="10" t="str">
        <x:v>control_diet33_vs50</x:v>
      </x:c>
      <x:c r="L182" s="10" t="str"/>
      <x:c r="M182" s="10" t="str"/>
      <x:c r="N182" s="10" t="str"/>
    </x:row>
    <x:row r="183">
      <x:c r="A183" s="10" t="str">
        <x:v>LOC126282023</x:v>
      </x:c>
      <x:c r="B183" s="10" t="str">
        <x:v>prothoracicostatic peptides</x:v>
      </x:c>
      <x:c r="C183" s="19" t="str">
        <x:f>IF(COUNTIF('Colleague 115'!$A$2:$A$116,A183)&gt;0,"Yes","No")</x:f>
        <x:v>No</x:v>
      </x:c>
      <x:c r="D183" s="19" t="str">
        <x:f>IF(COUNTIF('Volcano 402'!$A$2:$A$403,A183)&gt;0,"Yes","No")</x:f>
        <x:v>Yes</x:v>
      </x:c>
      <x:c r="E183" s="19" t="str">
        <x:f>IF(COUNTIF('Heatmap 169'!$A$2:$A$170,A183)&gt;0,"Yes","No")</x:f>
        <x:v>No</x:v>
      </x:c>
      <x:c r="F183" s="19" t="n">
        <x:f>COUNTIF(C183:E183,"Yes")</x:f>
        <x:v>1</x:v>
      </x:c>
      <x:c r="G183" s="10" t="str">
        <x:f>IF(F183=3,"All three",IF(F183=2,IF(C183="No","Volcano + heatmap",IF(D183="No","Colleague + heatmap","Colleague + volcano")),IF(C183="Yes","Colleague only",IF(D183="Yes","Volcano only","Heatmap only"))))</x:f>
        <x:v>Volcano only</x:v>
      </x:c>
      <x:c r="H183" s="10" t="str"/>
      <x:c r="I183" s="10" t="str"/>
      <x:c r="J183" s="10" t="str">
        <x:v>Immune-related</x:v>
      </x:c>
      <x:c r="K183" s="10" t="str">
        <x:v>infected_diet33_vs50; infection_diet50</x:v>
      </x:c>
      <x:c r="L183" s="10" t="str"/>
      <x:c r="M183" s="10" t="str"/>
      <x:c r="N183" s="10" t="str"/>
    </x:row>
    <x:row r="184">
      <x:c r="A184" s="10" t="str">
        <x:v>LOC126282030</x:v>
      </x:c>
      <x:c r="B184" s="10" t="str">
        <x:v>nuclear factor NF-kappa-B p110 subunit</x:v>
      </x:c>
      <x:c r="C184" s="19" t="str">
        <x:f>IF(COUNTIF('Colleague 115'!$A$2:$A$116,A184)&gt;0,"Yes","No")</x:f>
        <x:v>Yes</x:v>
      </x:c>
      <x:c r="D184" s="19" t="str">
        <x:f>IF(COUNTIF('Volcano 402'!$A$2:$A$403,A184)&gt;0,"Yes","No")</x:f>
        <x:v>Yes</x:v>
      </x:c>
      <x:c r="E184" s="19" t="str">
        <x:f>IF(COUNTIF('Heatmap 169'!$A$2:$A$170,A184)&gt;0,"Yes","No")</x:f>
        <x:v>No</x:v>
      </x:c>
      <x:c r="F184" s="19" t="n">
        <x:f>COUNTIF(C184:E184,"Yes")</x:f>
        <x:v>2</x:v>
      </x:c>
      <x:c r="G184" s="10" t="str">
        <x:f>IF(F184=3,"All three",IF(F184=2,IF(C184="No","Volcano + heatmap",IF(D184="No","Colleague + heatmap","Colleague + volcano")),IF(C184="Yes","Colleague only",IF(D184="Yes","Volcano only","Heatmap only"))))</x:f>
        <x:v>Colleague + volcano</x:v>
      </x:c>
      <x:c r="H184" s="10" t="str">
        <x:v>Innate Immune Recognition &amp; Signaling</x:v>
      </x:c>
      <x:c r="I184" s="10" t="str">
        <x:v>Immune Activation &amp; Sensing (Toll/JAK-STAT/NF-κB)</x:v>
      </x:c>
      <x:c r="J184" s="10" t="str">
        <x:v>Immune-related</x:v>
      </x:c>
      <x:c r="K184" s="10" t="str">
        <x:v>infection_average_all_diets; infection_diet33; infection_diet50; infection_diet83</x:v>
      </x:c>
      <x:c r="L184" s="10" t="str"/>
      <x:c r="M184" s="10" t="str"/>
      <x:c r="N184" s="10" t="str"/>
    </x:row>
    <x:row r="185">
      <x:c r="A185" s="10" t="str">
        <x:v>LOC126282043</x:v>
      </x:c>
      <x:c r="B185" s="10" t="str">
        <x:v>aldehyde dehydrogenase, mitochondrial-like</x:v>
      </x:c>
      <x:c r="C185" s="19" t="str">
        <x:f>IF(COUNTIF('Colleague 115'!$A$2:$A$116,A185)&gt;0,"Yes","No")</x:f>
        <x:v>No</x:v>
      </x:c>
      <x:c r="D185" s="19" t="str">
        <x:f>IF(COUNTIF('Volcano 402'!$A$2:$A$403,A185)&gt;0,"Yes","No")</x:f>
        <x:v>Yes</x:v>
      </x:c>
      <x:c r="E185" s="19" t="str">
        <x:f>IF(COUNTIF('Heatmap 169'!$A$2:$A$170,A185)&gt;0,"Yes","No")</x:f>
        <x:v>No</x:v>
      </x:c>
      <x:c r="F185" s="19" t="n">
        <x:f>COUNTIF(C185:E185,"Yes")</x:f>
        <x:v>1</x:v>
      </x:c>
      <x:c r="G185" s="10" t="str">
        <x:f>IF(F185=3,"All three",IF(F185=2,IF(C185="No","Volcano + heatmap",IF(D185="No","Colleague + heatmap","Colleague + volcano")),IF(C185="Yes","Colleague only",IF(D185="Yes","Volcano only","Heatmap only"))))</x:f>
        <x:v>Volcano only</x:v>
      </x:c>
      <x:c r="H185" s="10" t="str"/>
      <x:c r="I185" s="10" t="str"/>
      <x:c r="J185" s="10" t="str">
        <x:v>Detoxification / stress</x:v>
      </x:c>
      <x:c r="K185" s="10" t="str">
        <x:v>infection_average_all_diets; infection_diet33; infection_diet50</x:v>
      </x:c>
      <x:c r="L185" s="10" t="str"/>
      <x:c r="M185" s="10" t="str"/>
      <x:c r="N185" s="10" t="str"/>
    </x:row>
    <x:row r="186">
      <x:c r="A186" s="10" t="str">
        <x:v>LOC126282076</x:v>
      </x:c>
      <x:c r="B186" s="10" t="str">
        <x:v>lipase 3-like</x:v>
      </x:c>
      <x:c r="C186" s="19" t="str">
        <x:f>IF(COUNTIF('Colleague 115'!$A$2:$A$116,A186)&gt;0,"Yes","No")</x:f>
        <x:v>No</x:v>
      </x:c>
      <x:c r="D186" s="19" t="str">
        <x:f>IF(COUNTIF('Volcano 402'!$A$2:$A$403,A186)&gt;0,"Yes","No")</x:f>
        <x:v>Yes</x:v>
      </x:c>
      <x:c r="E186" s="19" t="str">
        <x:f>IF(COUNTIF('Heatmap 169'!$A$2:$A$170,A186)&gt;0,"Yes","No")</x:f>
        <x:v>No</x:v>
      </x:c>
      <x:c r="F186" s="19" t="n">
        <x:f>COUNTIF(C186:E186,"Yes")</x:f>
        <x:v>1</x:v>
      </x:c>
      <x:c r="G186" s="10" t="str">
        <x:f>IF(F186=3,"All three",IF(F186=2,IF(C186="No","Volcano + heatmap",IF(D186="No","Colleague + heatmap","Colleague + volcano")),IF(C186="Yes","Colleague only",IF(D186="Yes","Volcano only","Heatmap only"))))</x:f>
        <x:v>Volcano only</x:v>
      </x:c>
      <x:c r="H186" s="10" t="str"/>
      <x:c r="I186" s="10" t="str"/>
      <x:c r="J186" s="10" t="str">
        <x:v>Lipid synthesis / metabolism</x:v>
      </x:c>
      <x:c r="K186" s="10" t="str">
        <x:v>infection_diet50</x:v>
      </x:c>
      <x:c r="L186" s="10" t="str"/>
      <x:c r="M186" s="10" t="str"/>
      <x:c r="N186" s="10" t="str"/>
    </x:row>
    <x:row r="187">
      <x:c r="A187" s="10" t="str">
        <x:v>LOC126282077</x:v>
      </x:c>
      <x:c r="B187" s="10" t="str">
        <x:v>lipase 3-like</x:v>
      </x:c>
      <x:c r="C187" s="19" t="str">
        <x:f>IF(COUNTIF('Colleague 115'!$A$2:$A$116,A187)&gt;0,"Yes","No")</x:f>
        <x:v>No</x:v>
      </x:c>
      <x:c r="D187" s="19" t="str">
        <x:f>IF(COUNTIF('Volcano 402'!$A$2:$A$403,A187)&gt;0,"Yes","No")</x:f>
        <x:v>Yes</x:v>
      </x:c>
      <x:c r="E187" s="19" t="str">
        <x:f>IF(COUNTIF('Heatmap 169'!$A$2:$A$170,A187)&gt;0,"Yes","No")</x:f>
        <x:v>No</x:v>
      </x:c>
      <x:c r="F187" s="19" t="n">
        <x:f>COUNTIF(C187:E187,"Yes")</x:f>
        <x:v>1</x:v>
      </x:c>
      <x:c r="G187" s="10" t="str">
        <x:f>IF(F187=3,"All three",IF(F187=2,IF(C187="No","Volcano + heatmap",IF(D187="No","Colleague + heatmap","Colleague + volcano")),IF(C187="Yes","Colleague only",IF(D187="Yes","Volcano only","Heatmap only"))))</x:f>
        <x:v>Volcano only</x:v>
      </x:c>
      <x:c r="H187" s="10" t="str"/>
      <x:c r="I187" s="10" t="str"/>
      <x:c r="J187" s="10" t="str">
        <x:v>Lipid synthesis / metabolism</x:v>
      </x:c>
      <x:c r="K187" s="10" t="str">
        <x:v>infection_average_all_diets; infection_diet33; infection_diet50</x:v>
      </x:c>
      <x:c r="L187" s="10" t="str"/>
      <x:c r="M187" s="10" t="str"/>
      <x:c r="N187" s="10" t="str"/>
    </x:row>
    <x:row r="188">
      <x:c r="A188" s="10" t="str">
        <x:v>LOC126282101</x:v>
      </x:c>
      <x:c r="B188" s="10" t="str">
        <x:v>cytochrome P450 6a2-like</x:v>
      </x:c>
      <x:c r="C188" s="19" t="str">
        <x:f>IF(COUNTIF('Colleague 115'!$A$2:$A$116,A188)&gt;0,"Yes","No")</x:f>
        <x:v>No</x:v>
      </x:c>
      <x:c r="D188" s="19" t="str">
        <x:f>IF(COUNTIF('Volcano 402'!$A$2:$A$403,A188)&gt;0,"Yes","No")</x:f>
        <x:v>Yes</x:v>
      </x:c>
      <x:c r="E188" s="19" t="str">
        <x:f>IF(COUNTIF('Heatmap 169'!$A$2:$A$170,A188)&gt;0,"Yes","No")</x:f>
        <x:v>Yes</x:v>
      </x:c>
      <x:c r="F188" s="19" t="n">
        <x:f>COUNTIF(C188:E188,"Yes")</x:f>
        <x:v>2</x:v>
      </x:c>
      <x:c r="G188" s="10" t="str">
        <x:f>IF(F188=3,"All three",IF(F188=2,IF(C188="No","Volcano + heatmap",IF(D188="No","Colleague + heatmap","Colleague + volcano")),IF(C188="Yes","Colleague only",IF(D188="Yes","Volcano only","Heatmap only"))))</x:f>
        <x:v>Volcano + heatmap</x:v>
      </x:c>
      <x:c r="H188" s="10" t="str"/>
      <x:c r="I188" s="10" t="str"/>
      <x:c r="J188" s="10" t="str">
        <x:v>Detoxification / stress</x:v>
      </x:c>
      <x:c r="K188" s="10" t="str">
        <x:v>infection_average_all_diets</x:v>
      </x:c>
      <x:c r="L188" s="10" t="str">
        <x:v>Functional candidate</x:v>
      </x:c>
      <x:c r="M188" s="10" t="str">
        <x:v>Detoxification/stress</x:v>
      </x:c>
      <x:c r="N188" s="10" t="str">
        <x:v>Not DEG</x:v>
      </x:c>
    </x:row>
    <x:row r="189">
      <x:c r="A189" s="10" t="str">
        <x:v>LOC126282119</x:v>
      </x:c>
      <x:c r="B189" s="10" t="str">
        <x:v>cytochrome P450 4C1-like</x:v>
      </x:c>
      <x:c r="C189" s="19" t="str">
        <x:f>IF(COUNTIF('Colleague 115'!$A$2:$A$116,A189)&gt;0,"Yes","No")</x:f>
        <x:v>No</x:v>
      </x:c>
      <x:c r="D189" s="19" t="str">
        <x:f>IF(COUNTIF('Volcano 402'!$A$2:$A$403,A189)&gt;0,"Yes","No")</x:f>
        <x:v>Yes</x:v>
      </x:c>
      <x:c r="E189" s="19" t="str">
        <x:f>IF(COUNTIF('Heatmap 169'!$A$2:$A$170,A189)&gt;0,"Yes","No")</x:f>
        <x:v>No</x:v>
      </x:c>
      <x:c r="F189" s="19" t="n">
        <x:f>COUNTIF(C189:E189,"Yes")</x:f>
        <x:v>1</x:v>
      </x:c>
      <x:c r="G189" s="10" t="str">
        <x:f>IF(F189=3,"All three",IF(F189=2,IF(C189="No","Volcano + heatmap",IF(D189="No","Colleague + heatmap","Colleague + volcano")),IF(C189="Yes","Colleague only",IF(D189="Yes","Volcano only","Heatmap only"))))</x:f>
        <x:v>Volcano only</x:v>
      </x:c>
      <x:c r="H189" s="10" t="str"/>
      <x:c r="I189" s="10" t="str"/>
      <x:c r="J189" s="10" t="str">
        <x:v>Detoxification / stress</x:v>
      </x:c>
      <x:c r="K189" s="10" t="str">
        <x:v>infection_average_all_diets; infection_diet50; infection_diet83</x:v>
      </x:c>
      <x:c r="L189" s="10" t="str"/>
      <x:c r="M189" s="10" t="str"/>
      <x:c r="N189" s="10" t="str"/>
    </x:row>
    <x:row r="190">
      <x:c r="A190" s="10" t="str">
        <x:v>LOC126282167</x:v>
      </x:c>
      <x:c r="B190" s="10" t="str">
        <x:v>patatin-like phospholipase domain-containing protein 2</x:v>
      </x:c>
      <x:c r="C190" s="19" t="str">
        <x:f>IF(COUNTIF('Colleague 115'!$A$2:$A$116,A190)&gt;0,"Yes","No")</x:f>
        <x:v>No</x:v>
      </x:c>
      <x:c r="D190" s="19" t="str">
        <x:f>IF(COUNTIF('Volcano 402'!$A$2:$A$403,A190)&gt;0,"Yes","No")</x:f>
        <x:v>Yes</x:v>
      </x:c>
      <x:c r="E190" s="19" t="str">
        <x:f>IF(COUNTIF('Heatmap 169'!$A$2:$A$170,A190)&gt;0,"Yes","No")</x:f>
        <x:v>No</x:v>
      </x:c>
      <x:c r="F190" s="19" t="n">
        <x:f>COUNTIF(C190:E190,"Yes")</x:f>
        <x:v>1</x:v>
      </x:c>
      <x:c r="G190" s="10" t="str">
        <x:f>IF(F190=3,"All three",IF(F190=2,IF(C190="No","Volcano + heatmap",IF(D190="No","Colleague + heatmap","Colleague + volcano")),IF(C190="Yes","Colleague only",IF(D190="Yes","Volcano only","Heatmap only"))))</x:f>
        <x:v>Volcano only</x:v>
      </x:c>
      <x:c r="H190" s="10" t="str"/>
      <x:c r="I190" s="10" t="str"/>
      <x:c r="J190" s="10" t="str">
        <x:v>Lipid synthesis / metabolism</x:v>
      </x:c>
      <x:c r="K190" s="10" t="str">
        <x:v>control_diet83_vs33; infection_average_all_diets; infection_diet33; infection_diet50</x:v>
      </x:c>
      <x:c r="L190" s="10" t="str"/>
      <x:c r="M190" s="10" t="str"/>
      <x:c r="N190" s="10" t="str"/>
    </x:row>
    <x:row r="191">
      <x:c r="A191" s="10" t="str">
        <x:v>LOC126282181</x:v>
      </x:c>
      <x:c r="B191" s="10" t="str">
        <x:v>juvenile hormone esterase-like</x:v>
      </x:c>
      <x:c r="C191" s="19" t="str">
        <x:f>IF(COUNTIF('Colleague 115'!$A$2:$A$116,A191)&gt;0,"Yes","No")</x:f>
        <x:v>No</x:v>
      </x:c>
      <x:c r="D191" s="19" t="str">
        <x:f>IF(COUNTIF('Volcano 402'!$A$2:$A$403,A191)&gt;0,"Yes","No")</x:f>
        <x:v>Yes</x:v>
      </x:c>
      <x:c r="E191" s="19" t="str">
        <x:f>IF(COUNTIF('Heatmap 169'!$A$2:$A$170,A191)&gt;0,"Yes","No")</x:f>
        <x:v>Yes</x:v>
      </x:c>
      <x:c r="F191" s="19" t="n">
        <x:f>COUNTIF(C191:E191,"Yes")</x:f>
        <x:v>2</x:v>
      </x:c>
      <x:c r="G191" s="10" t="str">
        <x:f>IF(F191=3,"All three",IF(F191=2,IF(C191="No","Volcano + heatmap",IF(D191="No","Colleague + heatmap","Colleague + volcano")),IF(C191="Yes","Colleague only",IF(D191="Yes","Volcano only","Heatmap only"))))</x:f>
        <x:v>Volcano + heatmap</x:v>
      </x:c>
      <x:c r="H191" s="10" t="str"/>
      <x:c r="I191" s="10" t="str"/>
      <x:c r="J191" s="10" t="str">
        <x:v>Lipid synthesis / metabolism</x:v>
      </x:c>
      <x:c r="K191" s="10" t="str">
        <x:v>infected_diet83_vs33; infection_average_all_diets; infection_diet33; infection_diet50; infection_diet83</x:v>
      </x:c>
      <x:c r="L191" s="10" t="str">
        <x:v>Top DEG</x:v>
      </x:c>
      <x:c r="M191" s="10" t="str">
        <x:v>Nutrition/metabolism</x:v>
      </x:c>
      <x:c r="N191" s="10" t="str">
        <x:v>DEG</x:v>
      </x:c>
    </x:row>
    <x:row r="192">
      <x:c r="A192" s="10" t="str">
        <x:v>LOC126282207</x:v>
      </x:c>
      <x:c r="B192" s="10" t="str">
        <x:v>modular serine protease-like</x:v>
      </x:c>
      <x:c r="C192" s="19" t="str">
        <x:f>IF(COUNTIF('Colleague 115'!$A$2:$A$116,A192)&gt;0,"Yes","No")</x:f>
        <x:v>Yes</x:v>
      </x:c>
      <x:c r="D192" s="19" t="str">
        <x:f>IF(COUNTIF('Volcano 402'!$A$2:$A$403,A192)&gt;0,"Yes","No")</x:f>
        <x:v>No</x:v>
      </x:c>
      <x:c r="E192" s="19" t="str">
        <x:f>IF(COUNTIF('Heatmap 169'!$A$2:$A$170,A192)&gt;0,"Yes","No")</x:f>
        <x:v>No</x:v>
      </x:c>
      <x:c r="F192" s="19" t="n">
        <x:f>COUNTIF(C192:E192,"Yes")</x:f>
        <x:v>1</x:v>
      </x:c>
      <x:c r="G192" s="10" t="str">
        <x:f>IF(F192=3,"All three",IF(F192=2,IF(C192="No","Volcano + heatmap",IF(D192="No","Colleague + heatmap","Colleague + volcano")),IF(C192="Yes","Colleague only",IF(D192="Yes","Volcano only","Heatmap only"))))</x:f>
        <x:v>Colleague only</x:v>
      </x:c>
      <x:c r="H192" s="10" t="str">
        <x:v>Innate Immune Recognition &amp; Signaling</x:v>
      </x:c>
      <x:c r="I192" s="10" t="str">
        <x:v>Serine Protease Cascades</x:v>
      </x:c>
      <x:c r="J192" s="10" t="str"/>
      <x:c r="K192" s="10" t="str"/>
      <x:c r="L192" s="10" t="str"/>
      <x:c r="M192" s="10" t="str"/>
      <x:c r="N192" s="10" t="str"/>
    </x:row>
    <x:row r="193">
      <x:c r="A193" s="10" t="str">
        <x:v>LOC126282305</x:v>
      </x:c>
      <x:c r="B193" s="10" t="str">
        <x:v>7tm Odorant receptor</x:v>
      </x:c>
      <x:c r="C193" s="19" t="str">
        <x:f>IF(COUNTIF('Colleague 115'!$A$2:$A$116,A193)&gt;0,"Yes","No")</x:f>
        <x:v>No</x:v>
      </x:c>
      <x:c r="D193" s="19" t="str">
        <x:f>IF(COUNTIF('Volcano 402'!$A$2:$A$403,A193)&gt;0,"Yes","No")</x:f>
        <x:v>No</x:v>
      </x:c>
      <x:c r="E193" s="19" t="str">
        <x:f>IF(COUNTIF('Heatmap 169'!$A$2:$A$170,A193)&gt;0,"Yes","No")</x:f>
        <x:v>Yes</x:v>
      </x:c>
      <x:c r="F193" s="19" t="n">
        <x:f>COUNTIF(C193:E193,"Yes")</x:f>
        <x:v>1</x:v>
      </x:c>
      <x:c r="G193" s="10" t="str">
        <x:f>IF(F193=3,"All three",IF(F193=2,IF(C193="No","Volcano + heatmap",IF(D193="No","Colleague + heatmap","Colleague + volcano")),IF(C193="Yes","Colleague only",IF(D193="Yes","Volcano only","Heatmap only"))))</x:f>
        <x:v>Heatmap only</x:v>
      </x:c>
      <x:c r="H193" s="10" t="str"/>
      <x:c r="I193" s="10" t="str"/>
      <x:c r="J193" s="10" t="str"/>
      <x:c r="K193" s="10" t="str"/>
      <x:c r="L193" s="10" t="str">
        <x:v>Top DEG</x:v>
      </x:c>
      <x:c r="M193" s="10" t="str">
        <x:v>Other strong DEG</x:v>
      </x:c>
      <x:c r="N193" s="10" t="str">
        <x:v>DEG</x:v>
      </x:c>
    </x:row>
    <x:row r="194">
      <x:c r="A194" s="10" t="str">
        <x:v>LOC126282396</x:v>
      </x:c>
      <x:c r="B194" s="10" t="str">
        <x:v>uncharacterized LOC126282396</x:v>
      </x:c>
      <x:c r="C194" s="19" t="str">
        <x:f>IF(COUNTIF('Colleague 115'!$A$2:$A$116,A194)&gt;0,"Yes","No")</x:f>
        <x:v>No</x:v>
      </x:c>
      <x:c r="D194" s="19" t="str">
        <x:f>IF(COUNTIF('Volcano 402'!$A$2:$A$403,A194)&gt;0,"Yes","No")</x:f>
        <x:v>Yes</x:v>
      </x:c>
      <x:c r="E194" s="19" t="str">
        <x:f>IF(COUNTIF('Heatmap 169'!$A$2:$A$170,A194)&gt;0,"Yes","No")</x:f>
        <x:v>No</x:v>
      </x:c>
      <x:c r="F194" s="19" t="n">
        <x:f>COUNTIF(C194:E194,"Yes")</x:f>
        <x:v>1</x:v>
      </x:c>
      <x:c r="G194" s="10" t="str">
        <x:f>IF(F194=3,"All three",IF(F194=2,IF(C194="No","Volcano + heatmap",IF(D194="No","Colleague + heatmap","Colleague + volcano")),IF(C194="Yes","Colleague only",IF(D194="Yes","Volcano only","Heatmap only"))))</x:f>
        <x:v>Volcano only</x:v>
      </x:c>
      <x:c r="H194" s="10" t="str"/>
      <x:c r="I194" s="10" t="str"/>
      <x:c r="J194" s="10" t="str">
        <x:v>Detoxification / stress</x:v>
      </x:c>
      <x:c r="K194" s="10" t="str">
        <x:v>infection_average_all_diets; infection_diet33; infection_diet50; infection_diet83</x:v>
      </x:c>
      <x:c r="L194" s="10" t="str"/>
      <x:c r="M194" s="10" t="str"/>
      <x:c r="N194" s="10" t="str"/>
    </x:row>
    <x:row r="195">
      <x:c r="A195" s="10" t="str">
        <x:v>LOC126282422</x:v>
      </x:c>
      <x:c r="B195" s="10" t="str">
        <x:v>glutathione S-transferase-like</x:v>
      </x:c>
      <x:c r="C195" s="19" t="str">
        <x:f>IF(COUNTIF('Colleague 115'!$A$2:$A$116,A195)&gt;0,"Yes","No")</x:f>
        <x:v>No</x:v>
      </x:c>
      <x:c r="D195" s="19" t="str">
        <x:f>IF(COUNTIF('Volcano 402'!$A$2:$A$403,A195)&gt;0,"Yes","No")</x:f>
        <x:v>Yes</x:v>
      </x:c>
      <x:c r="E195" s="19" t="str">
        <x:f>IF(COUNTIF('Heatmap 169'!$A$2:$A$170,A195)&gt;0,"Yes","No")</x:f>
        <x:v>No</x:v>
      </x:c>
      <x:c r="F195" s="19" t="n">
        <x:f>COUNTIF(C195:E195,"Yes")</x:f>
        <x:v>1</x:v>
      </x:c>
      <x:c r="G195" s="10" t="str">
        <x:f>IF(F195=3,"All three",IF(F195=2,IF(C195="No","Volcano + heatmap",IF(D195="No","Colleague + heatmap","Colleague + volcano")),IF(C195="Yes","Colleague only",IF(D195="Yes","Volcano only","Heatmap only"))))</x:f>
        <x:v>Volcano only</x:v>
      </x:c>
      <x:c r="H195" s="10" t="str"/>
      <x:c r="I195" s="10" t="str"/>
      <x:c r="J195" s="10" t="str">
        <x:v>Detoxification / stress</x:v>
      </x:c>
      <x:c r="K195" s="10" t="str">
        <x:v>infection_diet50</x:v>
      </x:c>
      <x:c r="L195" s="10" t="str"/>
      <x:c r="M195" s="10" t="str"/>
      <x:c r="N195" s="10" t="str"/>
    </x:row>
    <x:row r="196">
      <x:c r="A196" s="10" t="str">
        <x:v>LOC126283383</x:v>
      </x:c>
      <x:c r="B196" s="10" t="str">
        <x:v>Converts protoheme IX and farnesyl diphosphate to heme O</x:v>
      </x:c>
      <x:c r="C196" s="19" t="str">
        <x:f>IF(COUNTIF('Colleague 115'!$A$2:$A$116,A196)&gt;0,"Yes","No")</x:f>
        <x:v>No</x:v>
      </x:c>
      <x:c r="D196" s="19" t="str">
        <x:f>IF(COUNTIF('Volcano 402'!$A$2:$A$403,A196)&gt;0,"Yes","No")</x:f>
        <x:v>No</x:v>
      </x:c>
      <x:c r="E196" s="19" t="str">
        <x:f>IF(COUNTIF('Heatmap 169'!$A$2:$A$170,A196)&gt;0,"Yes","No")</x:f>
        <x:v>Yes</x:v>
      </x:c>
      <x:c r="F196" s="19" t="n">
        <x:f>COUNTIF(C196:E196,"Yes")</x:f>
        <x:v>1</x:v>
      </x:c>
      <x:c r="G196" s="10" t="str">
        <x:f>IF(F196=3,"All three",IF(F196=2,IF(C196="No","Volcano + heatmap",IF(D196="No","Colleague + heatmap","Colleague + volcano")),IF(C196="Yes","Colleague only",IF(D196="Yes","Volcano only","Heatmap only"))))</x:f>
        <x:v>Heatmap only</x:v>
      </x:c>
      <x:c r="H196" s="10" t="str"/>
      <x:c r="I196" s="10" t="str"/>
      <x:c r="J196" s="10" t="str"/>
      <x:c r="K196" s="10" t="str"/>
      <x:c r="L196" s="10" t="str">
        <x:v>Top DEG</x:v>
      </x:c>
      <x:c r="M196" s="10" t="str">
        <x:v>Other strong DEG</x:v>
      </x:c>
      <x:c r="N196" s="10" t="str">
        <x:v>DEG</x:v>
      </x:c>
    </x:row>
    <x:row r="197">
      <x:c r="A197" s="10" t="str">
        <x:v>LOC126283788</x:v>
      </x:c>
      <x:c r="B197" s="10" t="str">
        <x:v>scoloptoxin SSD14-like</x:v>
      </x:c>
      <x:c r="C197" s="19" t="str">
        <x:f>IF(COUNTIF('Colleague 115'!$A$2:$A$116,A197)&gt;0,"Yes","No")</x:f>
        <x:v>No</x:v>
      </x:c>
      <x:c r="D197" s="19" t="str">
        <x:f>IF(COUNTIF('Volcano 402'!$A$2:$A$403,A197)&gt;0,"Yes","No")</x:f>
        <x:v>Yes</x:v>
      </x:c>
      <x:c r="E197" s="19" t="str">
        <x:f>IF(COUNTIF('Heatmap 169'!$A$2:$A$170,A197)&gt;0,"Yes","No")</x:f>
        <x:v>No</x:v>
      </x:c>
      <x:c r="F197" s="19" t="n">
        <x:f>COUNTIF(C197:E197,"Yes")</x:f>
        <x:v>1</x:v>
      </x:c>
      <x:c r="G197" s="10" t="str">
        <x:f>IF(F197=3,"All three",IF(F197=2,IF(C197="No","Volcano + heatmap",IF(D197="No","Colleague + heatmap","Colleague + volcano")),IF(C197="Yes","Colleague only",IF(D197="Yes","Volcano only","Heatmap only"))))</x:f>
        <x:v>Volcano only</x:v>
      </x:c>
      <x:c r="H197" s="10" t="str"/>
      <x:c r="I197" s="10" t="str"/>
      <x:c r="J197" s="10" t="str">
        <x:v>Detoxification / stress</x:v>
      </x:c>
      <x:c r="K197" s="10" t="str">
        <x:v>infection_diet50</x:v>
      </x:c>
      <x:c r="L197" s="10" t="str"/>
      <x:c r="M197" s="10" t="str"/>
      <x:c r="N197" s="10" t="str"/>
    </x:row>
    <x:row r="198">
      <x:c r="A198" s="10" t="str">
        <x:v>LOC126283971</x:v>
      </x:c>
      <x:c r="B198" s="10" t="str">
        <x:v>glucose dehydrogenase [FAD, quinone]-like</x:v>
      </x:c>
      <x:c r="C198" s="19" t="str">
        <x:f>IF(COUNTIF('Colleague 115'!$A$2:$A$116,A198)&gt;0,"Yes","No")</x:f>
        <x:v>No</x:v>
      </x:c>
      <x:c r="D198" s="19" t="str">
        <x:f>IF(COUNTIF('Volcano 402'!$A$2:$A$403,A198)&gt;0,"Yes","No")</x:f>
        <x:v>Yes</x:v>
      </x:c>
      <x:c r="E198" s="19" t="str">
        <x:f>IF(COUNTIF('Heatmap 169'!$A$2:$A$170,A198)&gt;0,"Yes","No")</x:f>
        <x:v>No</x:v>
      </x:c>
      <x:c r="F198" s="19" t="n">
        <x:f>COUNTIF(C198:E198,"Yes")</x:f>
        <x:v>1</x:v>
      </x:c>
      <x:c r="G198" s="10" t="str">
        <x:f>IF(F198=3,"All three",IF(F198=2,IF(C198="No","Volcano + heatmap",IF(D198="No","Colleague + heatmap","Colleague + volcano")),IF(C198="Yes","Colleague only",IF(D198="Yes","Volcano only","Heatmap only"))))</x:f>
        <x:v>Volcano only</x:v>
      </x:c>
      <x:c r="H198" s="10" t="str"/>
      <x:c r="I198" s="10" t="str"/>
      <x:c r="J198" s="10" t="str">
        <x:v>Detoxification / stress</x:v>
      </x:c>
      <x:c r="K198" s="10" t="str">
        <x:v>infected_diet83_vs50</x:v>
      </x:c>
      <x:c r="L198" s="10" t="str"/>
      <x:c r="M198" s="10" t="str"/>
      <x:c r="N198" s="10" t="str"/>
    </x:row>
    <x:row r="199">
      <x:c r="A199" s="10" t="str">
        <x:v>LOC126283972</x:v>
      </x:c>
      <x:c r="B199" s="10" t="str">
        <x:v>glucose dehydrogenase [FAD, quinone]-like</x:v>
      </x:c>
      <x:c r="C199" s="19" t="str">
        <x:f>IF(COUNTIF('Colleague 115'!$A$2:$A$116,A199)&gt;0,"Yes","No")</x:f>
        <x:v>No</x:v>
      </x:c>
      <x:c r="D199" s="19" t="str">
        <x:f>IF(COUNTIF('Volcano 402'!$A$2:$A$403,A199)&gt;0,"Yes","No")</x:f>
        <x:v>Yes</x:v>
      </x:c>
      <x:c r="E199" s="19" t="str">
        <x:f>IF(COUNTIF('Heatmap 169'!$A$2:$A$170,A199)&gt;0,"Yes","No")</x:f>
        <x:v>No</x:v>
      </x:c>
      <x:c r="F199" s="19" t="n">
        <x:f>COUNTIF(C199:E199,"Yes")</x:f>
        <x:v>1</x:v>
      </x:c>
      <x:c r="G199" s="10" t="str">
        <x:f>IF(F199=3,"All three",IF(F199=2,IF(C199="No","Volcano + heatmap",IF(D199="No","Colleague + heatmap","Colleague + volcano")),IF(C199="Yes","Colleague only",IF(D199="Yes","Volcano only","Heatmap only"))))</x:f>
        <x:v>Volcano only</x:v>
      </x:c>
      <x:c r="H199" s="10" t="str"/>
      <x:c r="I199" s="10" t="str"/>
      <x:c r="J199" s="10" t="str">
        <x:v>Detoxification / stress</x:v>
      </x:c>
      <x:c r="K199" s="10" t="str">
        <x:v>infection_average_all_diets; infection_diet33; infection_diet50</x:v>
      </x:c>
      <x:c r="L199" s="10" t="str"/>
      <x:c r="M199" s="10" t="str"/>
      <x:c r="N199" s="10" t="str"/>
    </x:row>
    <x:row r="200">
      <x:c r="A200" s="10" t="str">
        <x:v>LOC126283978</x:v>
      </x:c>
      <x:c r="B200" s="10" t="str">
        <x:v>glucose dehydrogenase [FAD, quinone]-like</x:v>
      </x:c>
      <x:c r="C200" s="19" t="str">
        <x:f>IF(COUNTIF('Colleague 115'!$A$2:$A$116,A200)&gt;0,"Yes","No")</x:f>
        <x:v>No</x:v>
      </x:c>
      <x:c r="D200" s="19" t="str">
        <x:f>IF(COUNTIF('Volcano 402'!$A$2:$A$403,A200)&gt;0,"Yes","No")</x:f>
        <x:v>Yes</x:v>
      </x:c>
      <x:c r="E200" s="19" t="str">
        <x:f>IF(COUNTIF('Heatmap 169'!$A$2:$A$170,A200)&gt;0,"Yes","No")</x:f>
        <x:v>No</x:v>
      </x:c>
      <x:c r="F200" s="19" t="n">
        <x:f>COUNTIF(C200:E200,"Yes")</x:f>
        <x:v>1</x:v>
      </x:c>
      <x:c r="G200" s="10" t="str">
        <x:f>IF(F200=3,"All three",IF(F200=2,IF(C200="No","Volcano + heatmap",IF(D200="No","Colleague + heatmap","Colleague + volcano")),IF(C200="Yes","Colleague only",IF(D200="Yes","Volcano only","Heatmap only"))))</x:f>
        <x:v>Volcano only</x:v>
      </x:c>
      <x:c r="H200" s="10" t="str"/>
      <x:c r="I200" s="10" t="str"/>
      <x:c r="J200" s="10" t="str">
        <x:v>Detoxification / stress</x:v>
      </x:c>
      <x:c r="K200" s="10" t="str">
        <x:v>infection_average_all_diets; infection_diet50; infection_diet83</x:v>
      </x:c>
      <x:c r="L200" s="10" t="str"/>
      <x:c r="M200" s="10" t="str"/>
      <x:c r="N200" s="10" t="str"/>
    </x:row>
    <x:row r="201">
      <x:c r="A201" s="10" t="str">
        <x:v>LOC126284002</x:v>
      </x:c>
      <x:c r="B201" s="10" t="str">
        <x:v>elongation of very long chain fatty acids protein 6</x:v>
      </x:c>
      <x:c r="C201" s="19" t="str">
        <x:f>IF(COUNTIF('Colleague 115'!$A$2:$A$116,A201)&gt;0,"Yes","No")</x:f>
        <x:v>No</x:v>
      </x:c>
      <x:c r="D201" s="19" t="str">
        <x:f>IF(COUNTIF('Volcano 402'!$A$2:$A$403,A201)&gt;0,"Yes","No")</x:f>
        <x:v>Yes</x:v>
      </x:c>
      <x:c r="E201" s="19" t="str">
        <x:f>IF(COUNTIF('Heatmap 169'!$A$2:$A$170,A201)&gt;0,"Yes","No")</x:f>
        <x:v>No</x:v>
      </x:c>
      <x:c r="F201" s="19" t="n">
        <x:f>COUNTIF(C201:E201,"Yes")</x:f>
        <x:v>1</x:v>
      </x:c>
      <x:c r="G201" s="10" t="str">
        <x:f>IF(F201=3,"All three",IF(F201=2,IF(C201="No","Volcano + heatmap",IF(D201="No","Colleague + heatmap","Colleague + volcano")),IF(C201="Yes","Colleague only",IF(D201="Yes","Volcano only","Heatmap only"))))</x:f>
        <x:v>Volcano only</x:v>
      </x:c>
      <x:c r="H201" s="10" t="str"/>
      <x:c r="I201" s="10" t="str"/>
      <x:c r="J201" s="10" t="str">
        <x:v>Lipid synthesis / metabolism</x:v>
      </x:c>
      <x:c r="K201" s="10" t="str">
        <x:v>infection_average_all_diets; infection_diet33; infection_diet50; infection_diet83</x:v>
      </x:c>
      <x:c r="L201" s="10" t="str"/>
      <x:c r="M201" s="10" t="str"/>
      <x:c r="N201" s="10" t="str"/>
    </x:row>
    <x:row r="202">
      <x:c r="A202" s="10" t="str">
        <x:v>LOC126284033</x:v>
      </x:c>
      <x:c r="B202" s="10" t="str">
        <x:v>toll-like receptor 2</x:v>
      </x:c>
      <x:c r="C202" s="19" t="str">
        <x:f>IF(COUNTIF('Colleague 115'!$A$2:$A$116,A202)&gt;0,"Yes","No")</x:f>
        <x:v>Yes</x:v>
      </x:c>
      <x:c r="D202" s="19" t="str">
        <x:f>IF(COUNTIF('Volcano 402'!$A$2:$A$403,A202)&gt;0,"Yes","No")</x:f>
        <x:v>Yes</x:v>
      </x:c>
      <x:c r="E202" s="19" t="str">
        <x:f>IF(COUNTIF('Heatmap 169'!$A$2:$A$170,A202)&gt;0,"Yes","No")</x:f>
        <x:v>No</x:v>
      </x:c>
      <x:c r="F202" s="19" t="n">
        <x:f>COUNTIF(C202:E202,"Yes")</x:f>
        <x:v>2</x:v>
      </x:c>
      <x:c r="G202" s="10" t="str">
        <x:f>IF(F202=3,"All three",IF(F202=2,IF(C202="No","Volcano + heatmap",IF(D202="No","Colleague + heatmap","Colleague + volcano")),IF(C202="Yes","Colleague only",IF(D202="Yes","Volcano only","Heatmap only"))))</x:f>
        <x:v>Colleague + volcano</x:v>
      </x:c>
      <x:c r="H202" s="10" t="str">
        <x:v>Innate Immune Recognition &amp; Signaling</x:v>
      </x:c>
      <x:c r="I202" s="10" t="str">
        <x:v>Immune Activation &amp; Sensing (Toll/JAK-STAT/NF-κB)</x:v>
      </x:c>
      <x:c r="J202" s="10" t="str">
        <x:v>Immune-related</x:v>
      </x:c>
      <x:c r="K202" s="10" t="str">
        <x:v>infection_average_all_diets; infection_diet33; infection_diet50; infection_diet83</x:v>
      </x:c>
      <x:c r="L202" s="10" t="str"/>
      <x:c r="M202" s="10" t="str"/>
      <x:c r="N202" s="10" t="str"/>
    </x:row>
    <x:row r="203">
      <x:c r="A203" s="10" t="str">
        <x:v>LOC126284038</x:v>
      </x:c>
      <x:c r="B203" s="10" t="str">
        <x:v>cholesterol transporter ABCA5-like</x:v>
      </x:c>
      <x:c r="C203" s="19" t="str">
        <x:f>IF(COUNTIF('Colleague 115'!$A$2:$A$116,A203)&gt;0,"Yes","No")</x:f>
        <x:v>No</x:v>
      </x:c>
      <x:c r="D203" s="19" t="str">
        <x:f>IF(COUNTIF('Volcano 402'!$A$2:$A$403,A203)&gt;0,"Yes","No")</x:f>
        <x:v>Yes</x:v>
      </x:c>
      <x:c r="E203" s="19" t="str">
        <x:f>IF(COUNTIF('Heatmap 169'!$A$2:$A$170,A203)&gt;0,"Yes","No")</x:f>
        <x:v>No</x:v>
      </x:c>
      <x:c r="F203" s="19" t="n">
        <x:f>COUNTIF(C203:E203,"Yes")</x:f>
        <x:v>1</x:v>
      </x:c>
      <x:c r="G203" s="10" t="str">
        <x:f>IF(F203=3,"All three",IF(F203=2,IF(C203="No","Volcano + heatmap",IF(D203="No","Colleague + heatmap","Colleague + volcano")),IF(C203="Yes","Colleague only",IF(D203="Yes","Volcano only","Heatmap only"))))</x:f>
        <x:v>Volcano only</x:v>
      </x:c>
      <x:c r="H203" s="10" t="str"/>
      <x:c r="I203" s="10" t="str"/>
      <x:c r="J203" s="10" t="str">
        <x:v>Lipid synthesis / metabolism</x:v>
      </x:c>
      <x:c r="K203" s="10" t="str">
        <x:v>infection_diet50</x:v>
      </x:c>
      <x:c r="L203" s="10" t="str"/>
      <x:c r="M203" s="10" t="str"/>
      <x:c r="N203" s="10" t="str"/>
    </x:row>
    <x:row r="204">
      <x:c r="A204" s="10" t="str">
        <x:v>LOC126284043</x:v>
      </x:c>
      <x:c r="B204" s="10" t="str">
        <x:v>toll-like receptor 2</x:v>
      </x:c>
      <x:c r="C204" s="19" t="str">
        <x:f>IF(COUNTIF('Colleague 115'!$A$2:$A$116,A204)&gt;0,"Yes","No")</x:f>
        <x:v>Yes</x:v>
      </x:c>
      <x:c r="D204" s="19" t="str">
        <x:f>IF(COUNTIF('Volcano 402'!$A$2:$A$403,A204)&gt;0,"Yes","No")</x:f>
        <x:v>Yes</x:v>
      </x:c>
      <x:c r="E204" s="19" t="str">
        <x:f>IF(COUNTIF('Heatmap 169'!$A$2:$A$170,A204)&gt;0,"Yes","No")</x:f>
        <x:v>No</x:v>
      </x:c>
      <x:c r="F204" s="19" t="n">
        <x:f>COUNTIF(C204:E204,"Yes")</x:f>
        <x:v>2</x:v>
      </x:c>
      <x:c r="G204" s="10" t="str">
        <x:f>IF(F204=3,"All three",IF(F204=2,IF(C204="No","Volcano + heatmap",IF(D204="No","Colleague + heatmap","Colleague + volcano")),IF(C204="Yes","Colleague only",IF(D204="Yes","Volcano only","Heatmap only"))))</x:f>
        <x:v>Colleague + volcano</x:v>
      </x:c>
      <x:c r="H204" s="10" t="str">
        <x:v>Innate Immune Recognition &amp; Signaling</x:v>
      </x:c>
      <x:c r="I204" s="10" t="str">
        <x:v>Immune Activation &amp; Sensing (Toll/JAK-STAT/NF-κB)</x:v>
      </x:c>
      <x:c r="J204" s="10" t="str">
        <x:v>Immune-related</x:v>
      </x:c>
      <x:c r="K204" s="10" t="str">
        <x:v>infection_average_all_diets; infection_diet33; infection_diet50; infection_diet83</x:v>
      </x:c>
      <x:c r="L204" s="10" t="str"/>
      <x:c r="M204" s="10" t="str"/>
      <x:c r="N204" s="10" t="str"/>
    </x:row>
    <x:row r="205">
      <x:c r="A205" s="10" t="str">
        <x:v>LOC126284044</x:v>
      </x:c>
      <x:c r="B205" s="10" t="str">
        <x:v>cytochrome P450 6k1-like</x:v>
      </x:c>
      <x:c r="C205" s="19" t="str">
        <x:f>IF(COUNTIF('Colleague 115'!$A$2:$A$116,A205)&gt;0,"Yes","No")</x:f>
        <x:v>No</x:v>
      </x:c>
      <x:c r="D205" s="19" t="str">
        <x:f>IF(COUNTIF('Volcano 402'!$A$2:$A$403,A205)&gt;0,"Yes","No")</x:f>
        <x:v>Yes</x:v>
      </x:c>
      <x:c r="E205" s="19" t="str">
        <x:f>IF(COUNTIF('Heatmap 169'!$A$2:$A$170,A205)&gt;0,"Yes","No")</x:f>
        <x:v>No</x:v>
      </x:c>
      <x:c r="F205" s="19" t="n">
        <x:f>COUNTIF(C205:E205,"Yes")</x:f>
        <x:v>1</x:v>
      </x:c>
      <x:c r="G205" s="10" t="str">
        <x:f>IF(F205=3,"All three",IF(F205=2,IF(C205="No","Volcano + heatmap",IF(D205="No","Colleague + heatmap","Colleague + volcano")),IF(C205="Yes","Colleague only",IF(D205="Yes","Volcano only","Heatmap only"))))</x:f>
        <x:v>Volcano only</x:v>
      </x:c>
      <x:c r="H205" s="10" t="str"/>
      <x:c r="I205" s="10" t="str"/>
      <x:c r="J205" s="10" t="str">
        <x:v>Detoxification / stress</x:v>
      </x:c>
      <x:c r="K205" s="10" t="str">
        <x:v>infection_average_all_diets; infection_diet50</x:v>
      </x:c>
      <x:c r="L205" s="10" t="str"/>
      <x:c r="M205" s="10" t="str"/>
      <x:c r="N205" s="10" t="str"/>
    </x:row>
    <x:row r="206">
      <x:c r="A206" s="10" t="str">
        <x:v>LOC126284216</x:v>
      </x:c>
      <x:c r="B206" s="10" t="str">
        <x:v>phenoloxidase 2-like</x:v>
      </x:c>
      <x:c r="C206" s="19" t="str">
        <x:f>IF(COUNTIF('Colleague 115'!$A$2:$A$116,A206)&gt;0,"Yes","No")</x:f>
        <x:v>Yes</x:v>
      </x:c>
      <x:c r="D206" s="19" t="str">
        <x:f>IF(COUNTIF('Volcano 402'!$A$2:$A$403,A206)&gt;0,"Yes","No")</x:f>
        <x:v>Yes</x:v>
      </x:c>
      <x:c r="E206" s="19" t="str">
        <x:f>IF(COUNTIF('Heatmap 169'!$A$2:$A$170,A206)&gt;0,"Yes","No")</x:f>
        <x:v>No</x:v>
      </x:c>
      <x:c r="F206" s="19" t="n">
        <x:f>COUNTIF(C206:E206,"Yes")</x:f>
        <x:v>2</x:v>
      </x:c>
      <x:c r="G206" s="10" t="str">
        <x:f>IF(F206=3,"All three",IF(F206=2,IF(C206="No","Volcano + heatmap",IF(D206="No","Colleague + heatmap","Colleague + volcano")),IF(C206="Yes","Colleague only",IF(D206="Yes","Volcano only","Heatmap only"))))</x:f>
        <x:v>Colleague + volcano</x:v>
      </x:c>
      <x:c r="H206" s="10" t="str">
        <x:v>Humoral Immunity</x:v>
      </x:c>
      <x:c r="I206" s="10" t="str">
        <x:v>Prophenoloxidase (proPO) System</x:v>
      </x:c>
      <x:c r="J206" s="10" t="str">
        <x:v>Immune-related</x:v>
      </x:c>
      <x:c r="K206" s="10" t="str">
        <x:v>infection_average_all_diets; infection_diet33; infection_diet50</x:v>
      </x:c>
      <x:c r="L206" s="10" t="str"/>
      <x:c r="M206" s="10" t="str"/>
      <x:c r="N206" s="10" t="str"/>
    </x:row>
    <x:row r="207">
      <x:c r="A207" s="10" t="str">
        <x:v>LOC126284254</x:v>
      </x:c>
      <x:c r="B207" s="10" t="str">
        <x:v>heme binding. It is involved in the biological process described with oxidation-reduction process</x:v>
      </x:c>
      <x:c r="C207" s="19" t="str">
        <x:f>IF(COUNTIF('Colleague 115'!$A$2:$A$116,A207)&gt;0,"Yes","No")</x:f>
        <x:v>No</x:v>
      </x:c>
      <x:c r="D207" s="19" t="str">
        <x:f>IF(COUNTIF('Volcano 402'!$A$2:$A$403,A207)&gt;0,"Yes","No")</x:f>
        <x:v>No</x:v>
      </x:c>
      <x:c r="E207" s="19" t="str">
        <x:f>IF(COUNTIF('Heatmap 169'!$A$2:$A$170,A207)&gt;0,"Yes","No")</x:f>
        <x:v>Yes</x:v>
      </x:c>
      <x:c r="F207" s="19" t="n">
        <x:f>COUNTIF(C207:E207,"Yes")</x:f>
        <x:v>1</x:v>
      </x:c>
      <x:c r="G207" s="10" t="str">
        <x:f>IF(F207=3,"All three",IF(F207=2,IF(C207="No","Volcano + heatmap",IF(D207="No","Colleague + heatmap","Colleague + volcano")),IF(C207="Yes","Colleague only",IF(D207="Yes","Volcano only","Heatmap only"))))</x:f>
        <x:v>Heatmap only</x:v>
      </x:c>
      <x:c r="H207" s="10" t="str"/>
      <x:c r="I207" s="10" t="str"/>
      <x:c r="J207" s="10" t="str"/>
      <x:c r="K207" s="10" t="str"/>
      <x:c r="L207" s="10" t="str">
        <x:v>Functional candidate</x:v>
      </x:c>
      <x:c r="M207" s="10" t="str">
        <x:v>Detoxification/stress</x:v>
      </x:c>
      <x:c r="N207" s="10" t="str">
        <x:v>Not DEG</x:v>
      </x:c>
    </x:row>
    <x:row r="208">
      <x:c r="A208" s="10" t="str">
        <x:v>LOC126284334</x:v>
      </x:c>
      <x:c r="B208" s="10" t="str">
        <x:v>serine protease inhibitor I/II-like</x:v>
      </x:c>
      <x:c r="C208" s="19" t="str">
        <x:f>IF(COUNTIF('Colleague 115'!$A$2:$A$116,A208)&gt;0,"Yes","No")</x:f>
        <x:v>Yes</x:v>
      </x:c>
      <x:c r="D208" s="19" t="str">
        <x:f>IF(COUNTIF('Volcano 402'!$A$2:$A$403,A208)&gt;0,"Yes","No")</x:f>
        <x:v>No</x:v>
      </x:c>
      <x:c r="E208" s="19" t="str">
        <x:f>IF(COUNTIF('Heatmap 169'!$A$2:$A$170,A208)&gt;0,"Yes","No")</x:f>
        <x:v>No</x:v>
      </x:c>
      <x:c r="F208" s="19" t="n">
        <x:f>COUNTIF(C208:E208,"Yes")</x:f>
        <x:v>1</x:v>
      </x:c>
      <x:c r="G208" s="10" t="str">
        <x:f>IF(F208=3,"All three",IF(F208=2,IF(C208="No","Volcano + heatmap",IF(D208="No","Colleague + heatmap","Colleague + volcano")),IF(C208="Yes","Colleague only",IF(D208="Yes","Volcano only","Heatmap only"))))</x:f>
        <x:v>Colleague only</x:v>
      </x:c>
      <x:c r="H208" s="10" t="str">
        <x:v>Innate Immune Recognition &amp; Signaling</x:v>
      </x:c>
      <x:c r="I208" s="10" t="str">
        <x:v>Serine Protease Inhibitors (Serpins)</x:v>
      </x:c>
      <x:c r="J208" s="10" t="str"/>
      <x:c r="K208" s="10" t="str"/>
      <x:c r="L208" s="10" t="str"/>
      <x:c r="M208" s="10" t="str"/>
      <x:c r="N208" s="10" t="str"/>
    </x:row>
    <x:row r="209">
      <x:c r="A209" s="10" t="str">
        <x:v>LOC126284336</x:v>
      </x:c>
      <x:c r="B209" s="10" t="str">
        <x:v>serine protease inhibitor I/II-like</x:v>
      </x:c>
      <x:c r="C209" s="19" t="str">
        <x:f>IF(COUNTIF('Colleague 115'!$A$2:$A$116,A209)&gt;0,"Yes","No")</x:f>
        <x:v>Yes</x:v>
      </x:c>
      <x:c r="D209" s="19" t="str">
        <x:f>IF(COUNTIF('Volcano 402'!$A$2:$A$403,A209)&gt;0,"Yes","No")</x:f>
        <x:v>No</x:v>
      </x:c>
      <x:c r="E209" s="19" t="str">
        <x:f>IF(COUNTIF('Heatmap 169'!$A$2:$A$170,A209)&gt;0,"Yes","No")</x:f>
        <x:v>No</x:v>
      </x:c>
      <x:c r="F209" s="19" t="n">
        <x:f>COUNTIF(C209:E209,"Yes")</x:f>
        <x:v>1</x:v>
      </x:c>
      <x:c r="G209" s="10" t="str">
        <x:f>IF(F209=3,"All three",IF(F209=2,IF(C209="No","Volcano + heatmap",IF(D209="No","Colleague + heatmap","Colleague + volcano")),IF(C209="Yes","Colleague only",IF(D209="Yes","Volcano only","Heatmap only"))))</x:f>
        <x:v>Colleague only</x:v>
      </x:c>
      <x:c r="H209" s="10" t="str">
        <x:v>Innate Immune Recognition &amp; Signaling</x:v>
      </x:c>
      <x:c r="I209" s="10" t="str">
        <x:v>Serine Protease Inhibitors (Serpins)</x:v>
      </x:c>
      <x:c r="J209" s="10" t="str"/>
      <x:c r="K209" s="10" t="str"/>
      <x:c r="L209" s="10" t="str"/>
      <x:c r="M209" s="10" t="str"/>
      <x:c r="N209" s="10" t="str"/>
    </x:row>
    <x:row r="210">
      <x:c r="A210" s="10" t="str">
        <x:v>LOC126284347</x:v>
      </x:c>
      <x:c r="B210" s="10" t="str">
        <x:v>fatty acyl-CoA reductase wat-like</x:v>
      </x:c>
      <x:c r="C210" s="19" t="str">
        <x:f>IF(COUNTIF('Colleague 115'!$A$2:$A$116,A210)&gt;0,"Yes","No")</x:f>
        <x:v>No</x:v>
      </x:c>
      <x:c r="D210" s="19" t="str">
        <x:f>IF(COUNTIF('Volcano 402'!$A$2:$A$403,A210)&gt;0,"Yes","No")</x:f>
        <x:v>Yes</x:v>
      </x:c>
      <x:c r="E210" s="19" t="str">
        <x:f>IF(COUNTIF('Heatmap 169'!$A$2:$A$170,A210)&gt;0,"Yes","No")</x:f>
        <x:v>No</x:v>
      </x:c>
      <x:c r="F210" s="19" t="n">
        <x:f>COUNTIF(C210:E210,"Yes")</x:f>
        <x:v>1</x:v>
      </x:c>
      <x:c r="G210" s="10" t="str">
        <x:f>IF(F210=3,"All three",IF(F210=2,IF(C210="No","Volcano + heatmap",IF(D210="No","Colleague + heatmap","Colleague + volcano")),IF(C210="Yes","Colleague only",IF(D210="Yes","Volcano only","Heatmap only"))))</x:f>
        <x:v>Volcano only</x:v>
      </x:c>
      <x:c r="H210" s="10" t="str"/>
      <x:c r="I210" s="10" t="str"/>
      <x:c r="J210" s="10" t="str">
        <x:v>Lipid synthesis / metabolism</x:v>
      </x:c>
      <x:c r="K210" s="10" t="str">
        <x:v>control_diet33_vs50; control_diet83_vs33</x:v>
      </x:c>
      <x:c r="L210" s="10" t="str"/>
      <x:c r="M210" s="10" t="str"/>
      <x:c r="N210" s="10" t="str"/>
    </x:row>
    <x:row r="211">
      <x:c r="A211" s="10" t="str">
        <x:v>LOC126284367</x:v>
      </x:c>
      <x:c r="B211" s="10" t="str">
        <x:v>protease inhibitors-like</x:v>
      </x:c>
      <x:c r="C211" s="19" t="str">
        <x:f>IF(COUNTIF('Colleague 115'!$A$2:$A$116,A211)&gt;0,"Yes","No")</x:f>
        <x:v>Yes</x:v>
      </x:c>
      <x:c r="D211" s="19" t="str">
        <x:f>IF(COUNTIF('Volcano 402'!$A$2:$A$403,A211)&gt;0,"Yes","No")</x:f>
        <x:v>No</x:v>
      </x:c>
      <x:c r="E211" s="19" t="str">
        <x:f>IF(COUNTIF('Heatmap 169'!$A$2:$A$170,A211)&gt;0,"Yes","No")</x:f>
        <x:v>No</x:v>
      </x:c>
      <x:c r="F211" s="19" t="n">
        <x:f>COUNTIF(C211:E211,"Yes")</x:f>
        <x:v>1</x:v>
      </x:c>
      <x:c r="G211" s="10" t="str">
        <x:f>IF(F211=3,"All three",IF(F211=2,IF(C211="No","Volcano + heatmap",IF(D211="No","Colleague + heatmap","Colleague + volcano")),IF(C211="Yes","Colleague only",IF(D211="Yes","Volcano only","Heatmap only"))))</x:f>
        <x:v>Colleague only</x:v>
      </x:c>
      <x:c r="H211" s="10" t="str">
        <x:v>Innate Immune Recognition &amp; Signaling</x:v>
      </x:c>
      <x:c r="I211" s="10" t="str">
        <x:v>Serine Protease Inhibitors (Serpins)</x:v>
      </x:c>
      <x:c r="J211" s="10" t="str"/>
      <x:c r="K211" s="10" t="str"/>
      <x:c r="L211" s="10" t="str"/>
      <x:c r="M211" s="10" t="str"/>
      <x:c r="N211" s="10" t="str"/>
    </x:row>
    <x:row r="212">
      <x:c r="A212" s="10" t="str">
        <x:v>LOC126284462</x:v>
      </x:c>
      <x:c r="B212" s="10" t="str">
        <x:v>peptidoglycan-recognition protein LC-like</x:v>
      </x:c>
      <x:c r="C212" s="19" t="str">
        <x:f>IF(COUNTIF('Colleague 115'!$A$2:$A$116,A212)&gt;0,"Yes","No")</x:f>
        <x:v>Yes</x:v>
      </x:c>
      <x:c r="D212" s="19" t="str">
        <x:f>IF(COUNTIF('Volcano 402'!$A$2:$A$403,A212)&gt;0,"Yes","No")</x:f>
        <x:v>Yes</x:v>
      </x:c>
      <x:c r="E212" s="19" t="str">
        <x:f>IF(COUNTIF('Heatmap 169'!$A$2:$A$170,A212)&gt;0,"Yes","No")</x:f>
        <x:v>No</x:v>
      </x:c>
      <x:c r="F212" s="19" t="n">
        <x:f>COUNTIF(C212:E212,"Yes")</x:f>
        <x:v>2</x:v>
      </x:c>
      <x:c r="G212" s="10" t="str">
        <x:f>IF(F212=3,"All three",IF(F212=2,IF(C212="No","Volcano + heatmap",IF(D212="No","Colleague + heatmap","Colleague + volcano")),IF(C212="Yes","Colleague only",IF(D212="Yes","Volcano only","Heatmap only"))))</x:f>
        <x:v>Colleague + volcano</x:v>
      </x:c>
      <x:c r="H212" s="10" t="str">
        <x:v>Innate Immune Recognition &amp; Signaling</x:v>
      </x:c>
      <x:c r="I212" s="10" t="str">
        <x:v>Pattern Recognition Receptors (PRRs)</x:v>
      </x:c>
      <x:c r="J212" s="10" t="str">
        <x:v>Immune-related</x:v>
      </x:c>
      <x:c r="K212" s="10" t="str">
        <x:v>infection_average_all_diets; infection_diet33; infection_diet50</x:v>
      </x:c>
      <x:c r="L212" s="10" t="str"/>
      <x:c r="M212" s="10" t="str"/>
      <x:c r="N212" s="10" t="str"/>
    </x:row>
    <x:row r="213">
      <x:c r="A213" s="10" t="str">
        <x:v>LOC126284463</x:v>
      </x:c>
      <x:c r="B213" s="10" t="str">
        <x:v>peptidoglycan-recognition protein LB-like</x:v>
      </x:c>
      <x:c r="C213" s="19" t="str">
        <x:f>IF(COUNTIF('Colleague 115'!$A$2:$A$116,A213)&gt;0,"Yes","No")</x:f>
        <x:v>Yes</x:v>
      </x:c>
      <x:c r="D213" s="19" t="str">
        <x:f>IF(COUNTIF('Volcano 402'!$A$2:$A$403,A213)&gt;0,"Yes","No")</x:f>
        <x:v>Yes</x:v>
      </x:c>
      <x:c r="E213" s="19" t="str">
        <x:f>IF(COUNTIF('Heatmap 169'!$A$2:$A$170,A213)&gt;0,"Yes","No")</x:f>
        <x:v>No</x:v>
      </x:c>
      <x:c r="F213" s="19" t="n">
        <x:f>COUNTIF(C213:E213,"Yes")</x:f>
        <x:v>2</x:v>
      </x:c>
      <x:c r="G213" s="10" t="str">
        <x:f>IF(F213=3,"All three",IF(F213=2,IF(C213="No","Volcano + heatmap",IF(D213="No","Colleague + heatmap","Colleague + volcano")),IF(C213="Yes","Colleague only",IF(D213="Yes","Volcano only","Heatmap only"))))</x:f>
        <x:v>Colleague + volcano</x:v>
      </x:c>
      <x:c r="H213" s="10" t="str">
        <x:v>Innate Immune Recognition &amp; Signaling</x:v>
      </x:c>
      <x:c r="I213" s="10" t="str">
        <x:v>Pattern Recognition Receptors (PRRs)</x:v>
      </x:c>
      <x:c r="J213" s="10" t="str">
        <x:v>Immune-related</x:v>
      </x:c>
      <x:c r="K213" s="10" t="str">
        <x:v>infected_diet33_vs50; infection_average_all_diets; infection_diet50; infection_diet83</x:v>
      </x:c>
      <x:c r="L213" s="10" t="str"/>
      <x:c r="M213" s="10" t="str"/>
      <x:c r="N213" s="10" t="str"/>
    </x:row>
    <x:row r="214">
      <x:c r="A214" s="10" t="str">
        <x:v>LOC126284543</x:v>
      </x:c>
      <x:c r="B214" s="10" t="str">
        <x:v>scavenger receptor class B member 1-like</x:v>
      </x:c>
      <x:c r="C214" s="19" t="str">
        <x:f>IF(COUNTIF('Colleague 115'!$A$2:$A$116,A214)&gt;0,"Yes","No")</x:f>
        <x:v>Yes</x:v>
      </x:c>
      <x:c r="D214" s="19" t="str">
        <x:f>IF(COUNTIF('Volcano 402'!$A$2:$A$403,A214)&gt;0,"Yes","No")</x:f>
        <x:v>No</x:v>
      </x:c>
      <x:c r="E214" s="19" t="str">
        <x:f>IF(COUNTIF('Heatmap 169'!$A$2:$A$170,A214)&gt;0,"Yes","No")</x:f>
        <x:v>No</x:v>
      </x:c>
      <x:c r="F214" s="19" t="n">
        <x:f>COUNTIF(C214:E214,"Yes")</x:f>
        <x:v>1</x:v>
      </x:c>
      <x:c r="G214" s="10" t="str">
        <x:f>IF(F214=3,"All three",IF(F214=2,IF(C214="No","Volcano + heatmap",IF(D214="No","Colleague + heatmap","Colleague + volcano")),IF(C214="Yes","Colleague only",IF(D214="Yes","Volcano only","Heatmap only"))))</x:f>
        <x:v>Colleague only</x:v>
      </x:c>
      <x:c r="H214" s="10" t="str">
        <x:v>Innate Immune Recognition &amp; Signaling</x:v>
      </x:c>
      <x:c r="I214" s="10" t="str">
        <x:v>Pattern Recognition Receptors (PRRs)</x:v>
      </x:c>
      <x:c r="J214" s="10" t="str"/>
      <x:c r="K214" s="10" t="str"/>
      <x:c r="L214" s="10" t="str"/>
      <x:c r="M214" s="10" t="str"/>
      <x:c r="N214" s="10" t="str"/>
    </x:row>
    <x:row r="215">
      <x:c r="A215" s="10" t="str">
        <x:v>LOC126284552</x:v>
      </x:c>
      <x:c r="B215" s="10" t="str">
        <x:v>cytochrome P450 6j1-like</x:v>
      </x:c>
      <x:c r="C215" s="19" t="str">
        <x:f>IF(COUNTIF('Colleague 115'!$A$2:$A$116,A215)&gt;0,"Yes","No")</x:f>
        <x:v>No</x:v>
      </x:c>
      <x:c r="D215" s="19" t="str">
        <x:f>IF(COUNTIF('Volcano 402'!$A$2:$A$403,A215)&gt;0,"Yes","No")</x:f>
        <x:v>Yes</x:v>
      </x:c>
      <x:c r="E215" s="19" t="str">
        <x:f>IF(COUNTIF('Heatmap 169'!$A$2:$A$170,A215)&gt;0,"Yes","No")</x:f>
        <x:v>No</x:v>
      </x:c>
      <x:c r="F215" s="19" t="n">
        <x:f>COUNTIF(C215:E215,"Yes")</x:f>
        <x:v>1</x:v>
      </x:c>
      <x:c r="G215" s="10" t="str">
        <x:f>IF(F215=3,"All three",IF(F215=2,IF(C215="No","Volcano + heatmap",IF(D215="No","Colleague + heatmap","Colleague + volcano")),IF(C215="Yes","Colleague only",IF(D215="Yes","Volcano only","Heatmap only"))))</x:f>
        <x:v>Volcano only</x:v>
      </x:c>
      <x:c r="H215" s="10" t="str"/>
      <x:c r="I215" s="10" t="str"/>
      <x:c r="J215" s="10" t="str">
        <x:v>Detoxification / stress</x:v>
      </x:c>
      <x:c r="K215" s="10" t="str">
        <x:v>infection_average_all_diets; infection_diet83</x:v>
      </x:c>
      <x:c r="L215" s="10" t="str"/>
      <x:c r="M215" s="10" t="str"/>
      <x:c r="N215" s="10" t="str"/>
    </x:row>
    <x:row r="216">
      <x:c r="A216" s="10" t="str">
        <x:v>LOC126284557</x:v>
      </x:c>
      <x:c r="B216" s="10" t="str">
        <x:v>UNC93-like protein</x:v>
      </x:c>
      <x:c r="C216" s="19" t="str">
        <x:f>IF(COUNTIF('Colleague 115'!$A$2:$A$116,A216)&gt;0,"Yes","No")</x:f>
        <x:v>No</x:v>
      </x:c>
      <x:c r="D216" s="19" t="str">
        <x:f>IF(COUNTIF('Volcano 402'!$A$2:$A$403,A216)&gt;0,"Yes","No")</x:f>
        <x:v>Yes</x:v>
      </x:c>
      <x:c r="E216" s="19" t="str">
        <x:f>IF(COUNTIF('Heatmap 169'!$A$2:$A$170,A216)&gt;0,"Yes","No")</x:f>
        <x:v>No</x:v>
      </x:c>
      <x:c r="F216" s="19" t="n">
        <x:f>COUNTIF(C216:E216,"Yes")</x:f>
        <x:v>1</x:v>
      </x:c>
      <x:c r="G216" s="10" t="str">
        <x:f>IF(F216=3,"All three",IF(F216=2,IF(C216="No","Volcano + heatmap",IF(D216="No","Colleague + heatmap","Colleague + volcano")),IF(C216="Yes","Colleague only",IF(D216="Yes","Volcano only","Heatmap only"))))</x:f>
        <x:v>Volcano only</x:v>
      </x:c>
      <x:c r="H216" s="10" t="str"/>
      <x:c r="I216" s="10" t="str"/>
      <x:c r="J216" s="10" t="str">
        <x:v>Immune-related</x:v>
      </x:c>
      <x:c r="K216" s="10" t="str">
        <x:v>infection_diet50</x:v>
      </x:c>
      <x:c r="L216" s="10" t="str"/>
      <x:c r="M216" s="10" t="str"/>
      <x:c r="N216" s="10" t="str"/>
    </x:row>
    <x:row r="217">
      <x:c r="A217" s="10" t="str">
        <x:v>LOC126284582</x:v>
      </x:c>
      <x:c r="B217" s="10" t="str">
        <x:v>fatty acyl-CoA reductase wat-like</x:v>
      </x:c>
      <x:c r="C217" s="19" t="str">
        <x:f>IF(COUNTIF('Colleague 115'!$A$2:$A$116,A217)&gt;0,"Yes","No")</x:f>
        <x:v>No</x:v>
      </x:c>
      <x:c r="D217" s="19" t="str">
        <x:f>IF(COUNTIF('Volcano 402'!$A$2:$A$403,A217)&gt;0,"Yes","No")</x:f>
        <x:v>Yes</x:v>
      </x:c>
      <x:c r="E217" s="19" t="str">
        <x:f>IF(COUNTIF('Heatmap 169'!$A$2:$A$170,A217)&gt;0,"Yes","No")</x:f>
        <x:v>No</x:v>
      </x:c>
      <x:c r="F217" s="19" t="n">
        <x:f>COUNTIF(C217:E217,"Yes")</x:f>
        <x:v>1</x:v>
      </x:c>
      <x:c r="G217" s="10" t="str">
        <x:f>IF(F217=3,"All three",IF(F217=2,IF(C217="No","Volcano + heatmap",IF(D217="No","Colleague + heatmap","Colleague + volcano")),IF(C217="Yes","Colleague only",IF(D217="Yes","Volcano only","Heatmap only"))))</x:f>
        <x:v>Volcano only</x:v>
      </x:c>
      <x:c r="H217" s="10" t="str"/>
      <x:c r="I217" s="10" t="str"/>
      <x:c r="J217" s="10" t="str">
        <x:v>Lipid synthesis / metabolism</x:v>
      </x:c>
      <x:c r="K217" s="10" t="str">
        <x:v>infected_diet83_vs33; infection_diet50</x:v>
      </x:c>
      <x:c r="L217" s="10" t="str"/>
      <x:c r="M217" s="10" t="str"/>
      <x:c r="N217" s="10" t="str"/>
    </x:row>
    <x:row r="218">
      <x:c r="A218" s="10" t="str">
        <x:v>LOC126284604</x:v>
      </x:c>
      <x:c r="B218" s="10" t="str">
        <x:v>serine protease inhibitor I/II-like</x:v>
      </x:c>
      <x:c r="C218" s="19" t="str">
        <x:f>IF(COUNTIF('Colleague 115'!$A$2:$A$116,A218)&gt;0,"Yes","No")</x:f>
        <x:v>Yes</x:v>
      </x:c>
      <x:c r="D218" s="19" t="str">
        <x:f>IF(COUNTIF('Volcano 402'!$A$2:$A$403,A218)&gt;0,"Yes","No")</x:f>
        <x:v>No</x:v>
      </x:c>
      <x:c r="E218" s="19" t="str">
        <x:f>IF(COUNTIF('Heatmap 169'!$A$2:$A$170,A218)&gt;0,"Yes","No")</x:f>
        <x:v>No</x:v>
      </x:c>
      <x:c r="F218" s="19" t="n">
        <x:f>COUNTIF(C218:E218,"Yes")</x:f>
        <x:v>1</x:v>
      </x:c>
      <x:c r="G218" s="10" t="str">
        <x:f>IF(F218=3,"All three",IF(F218=2,IF(C218="No","Volcano + heatmap",IF(D218="No","Colleague + heatmap","Colleague + volcano")),IF(C218="Yes","Colleague only",IF(D218="Yes","Volcano only","Heatmap only"))))</x:f>
        <x:v>Colleague only</x:v>
      </x:c>
      <x:c r="H218" s="10" t="str">
        <x:v>Innate Immune Recognition &amp; Signaling</x:v>
      </x:c>
      <x:c r="I218" s="10" t="str">
        <x:v>Serine Protease Inhibitors (Serpins)</x:v>
      </x:c>
      <x:c r="J218" s="10" t="str"/>
      <x:c r="K218" s="10" t="str"/>
      <x:c r="L218" s="10" t="str"/>
      <x:c r="M218" s="10" t="str"/>
      <x:c r="N218" s="10" t="str"/>
    </x:row>
    <x:row r="219">
      <x:c r="A219" s="10" t="str">
        <x:v>LOC126284629</x:v>
      </x:c>
      <x:c r="B219" s="10" t="str">
        <x:v>Single domain von Willebrand factor type C</x:v>
      </x:c>
      <x:c r="C219" s="19" t="str">
        <x:f>IF(COUNTIF('Colleague 115'!$A$2:$A$116,A219)&gt;0,"Yes","No")</x:f>
        <x:v>No</x:v>
      </x:c>
      <x:c r="D219" s="19" t="str">
        <x:f>IF(COUNTIF('Volcano 402'!$A$2:$A$403,A219)&gt;0,"Yes","No")</x:f>
        <x:v>No</x:v>
      </x:c>
      <x:c r="E219" s="19" t="str">
        <x:f>IF(COUNTIF('Heatmap 169'!$A$2:$A$170,A219)&gt;0,"Yes","No")</x:f>
        <x:v>Yes</x:v>
      </x:c>
      <x:c r="F219" s="19" t="n">
        <x:f>COUNTIF(C219:E219,"Yes")</x:f>
        <x:v>1</x:v>
      </x:c>
      <x:c r="G219" s="10" t="str">
        <x:f>IF(F219=3,"All three",IF(F219=2,IF(C219="No","Volcano + heatmap",IF(D219="No","Colleague + heatmap","Colleague + volcano")),IF(C219="Yes","Colleague only",IF(D219="Yes","Volcano only","Heatmap only"))))</x:f>
        <x:v>Heatmap only</x:v>
      </x:c>
      <x:c r="H219" s="10" t="str"/>
      <x:c r="I219" s="10" t="str"/>
      <x:c r="J219" s="10" t="str"/>
      <x:c r="K219" s="10" t="str"/>
      <x:c r="L219" s="10" t="str">
        <x:v>Top DEG</x:v>
      </x:c>
      <x:c r="M219" s="10" t="str">
        <x:v>Other strong DEG</x:v>
      </x:c>
      <x:c r="N219" s="10" t="str">
        <x:v>DEG</x:v>
      </x:c>
    </x:row>
    <x:row r="220">
      <x:c r="A220" s="10" t="str">
        <x:v>LOC126284639</x:v>
      </x:c>
      <x:c r="B220" s="10" t="str">
        <x:v>protein lethal(2)essential for life-like</x:v>
      </x:c>
      <x:c r="C220" s="19" t="str">
        <x:f>IF(COUNTIF('Colleague 115'!$A$2:$A$116,A220)&gt;0,"Yes","No")</x:f>
        <x:v>No</x:v>
      </x:c>
      <x:c r="D220" s="19" t="str">
        <x:f>IF(COUNTIF('Volcano 402'!$A$2:$A$403,A220)&gt;0,"Yes","No")</x:f>
        <x:v>Yes</x:v>
      </x:c>
      <x:c r="E220" s="19" t="str">
        <x:f>IF(COUNTIF('Heatmap 169'!$A$2:$A$170,A220)&gt;0,"Yes","No")</x:f>
        <x:v>No</x:v>
      </x:c>
      <x:c r="F220" s="19" t="n">
        <x:f>COUNTIF(C220:E220,"Yes")</x:f>
        <x:v>1</x:v>
      </x:c>
      <x:c r="G220" s="10" t="str">
        <x:f>IF(F220=3,"All three",IF(F220=2,IF(C220="No","Volcano + heatmap",IF(D220="No","Colleague + heatmap","Colleague + volcano")),IF(C220="Yes","Colleague only",IF(D220="Yes","Volcano only","Heatmap only"))))</x:f>
        <x:v>Volcano only</x:v>
      </x:c>
      <x:c r="H220" s="10" t="str"/>
      <x:c r="I220" s="10" t="str"/>
      <x:c r="J220" s="10" t="str">
        <x:v>Detoxification / stress</x:v>
      </x:c>
      <x:c r="K220" s="10" t="str">
        <x:v>infection_average_all_diets; infection_diet33; infection_diet50</x:v>
      </x:c>
      <x:c r="L220" s="10" t="str"/>
      <x:c r="M220" s="10" t="str"/>
      <x:c r="N220" s="10" t="str"/>
    </x:row>
    <x:row r="221">
      <x:c r="A221" s="10" t="str">
        <x:v>LOC126284648</x:v>
      </x:c>
      <x:c r="B221" s="10" t="str">
        <x:v>CARD- and ANK-domain containing inflammasome adapter protein-like</x:v>
      </x:c>
      <x:c r="C221" s="19" t="str">
        <x:f>IF(COUNTIF('Colleague 115'!$A$2:$A$116,A221)&gt;0,"Yes","No")</x:f>
        <x:v>Yes</x:v>
      </x:c>
      <x:c r="D221" s="19" t="str">
        <x:f>IF(COUNTIF('Volcano 402'!$A$2:$A$403,A221)&gt;0,"Yes","No")</x:f>
        <x:v>No</x:v>
      </x:c>
      <x:c r="E221" s="19" t="str">
        <x:f>IF(COUNTIF('Heatmap 169'!$A$2:$A$170,A221)&gt;0,"Yes","No")</x:f>
        <x:v>No</x:v>
      </x:c>
      <x:c r="F221" s="19" t="n">
        <x:f>COUNTIF(C221:E221,"Yes")</x:f>
        <x:v>1</x:v>
      </x:c>
      <x:c r="G221" s="10" t="str">
        <x:f>IF(F221=3,"All three",IF(F221=2,IF(C221="No","Volcano + heatmap",IF(D221="No","Colleague + heatmap","Colleague + volcano")),IF(C221="Yes","Colleague only",IF(D221="Yes","Volcano only","Heatmap only"))))</x:f>
        <x:v>Colleague only</x:v>
      </x:c>
      <x:c r="H221" s="10" t="str">
        <x:v>Cellular Immunity</x:v>
      </x:c>
      <x:c r="I221" s="10" t="str">
        <x:v>Inflammasome Assembly &amp; Pyroptosis</x:v>
      </x:c>
      <x:c r="J221" s="10" t="str"/>
      <x:c r="K221" s="10" t="str"/>
      <x:c r="L221" s="10" t="str"/>
      <x:c r="M221" s="10" t="str"/>
      <x:c r="N221" s="10" t="str"/>
    </x:row>
    <x:row r="222">
      <x:c r="A222" s="10" t="str">
        <x:v>LOC126284651</x:v>
      </x:c>
      <x:c r="B222" s="10" t="str">
        <x:v>PI-PLC X domain-containing protein 1-like</x:v>
      </x:c>
      <x:c r="C222" s="19" t="str">
        <x:f>IF(COUNTIF('Colleague 115'!$A$2:$A$116,A222)&gt;0,"Yes","No")</x:f>
        <x:v>No</x:v>
      </x:c>
      <x:c r="D222" s="19" t="str">
        <x:f>IF(COUNTIF('Volcano 402'!$A$2:$A$403,A222)&gt;0,"Yes","No")</x:f>
        <x:v>Yes</x:v>
      </x:c>
      <x:c r="E222" s="19" t="str">
        <x:f>IF(COUNTIF('Heatmap 169'!$A$2:$A$170,A222)&gt;0,"Yes","No")</x:f>
        <x:v>Yes</x:v>
      </x:c>
      <x:c r="F222" s="19" t="n">
        <x:f>COUNTIF(C222:E222,"Yes")</x:f>
        <x:v>2</x:v>
      </x:c>
      <x:c r="G222" s="10" t="str">
        <x:f>IF(F222=3,"All three",IF(F222=2,IF(C222="No","Volcano + heatmap",IF(D222="No","Colleague + heatmap","Colleague + volcano")),IF(C222="Yes","Colleague only",IF(D222="Yes","Volcano only","Heatmap only"))))</x:f>
        <x:v>Volcano + heatmap</x:v>
      </x:c>
      <x:c r="H222" s="10" t="str"/>
      <x:c r="I222" s="10" t="str"/>
      <x:c r="J222" s="10" t="str">
        <x:v>Lipid synthesis / metabolism</x:v>
      </x:c>
      <x:c r="K222" s="10" t="str">
        <x:v>infected_diet33_vs50; infection_average_all_diets; infection_diet33; infection_diet50; infection_diet83</x:v>
      </x:c>
      <x:c r="L222" s="10" t="str">
        <x:v>Functional candidate</x:v>
      </x:c>
      <x:c r="M222" s="10" t="str">
        <x:v>Nutrition/metabolism</x:v>
      </x:c>
      <x:c r="N222" s="10" t="str">
        <x:v>DEG</x:v>
      </x:c>
    </x:row>
    <x:row r="223">
      <x:c r="A223" s="10" t="str">
        <x:v>LOC126284684</x:v>
      </x:c>
      <x:c r="B223" s="10" t="str">
        <x:v>cytochrome P450 6j1-like</x:v>
      </x:c>
      <x:c r="C223" s="19" t="str">
        <x:f>IF(COUNTIF('Colleague 115'!$A$2:$A$116,A223)&gt;0,"Yes","No")</x:f>
        <x:v>No</x:v>
      </x:c>
      <x:c r="D223" s="19" t="str">
        <x:f>IF(COUNTIF('Volcano 402'!$A$2:$A$403,A223)&gt;0,"Yes","No")</x:f>
        <x:v>Yes</x:v>
      </x:c>
      <x:c r="E223" s="19" t="str">
        <x:f>IF(COUNTIF('Heatmap 169'!$A$2:$A$170,A223)&gt;0,"Yes","No")</x:f>
        <x:v>No</x:v>
      </x:c>
      <x:c r="F223" s="19" t="n">
        <x:f>COUNTIF(C223:E223,"Yes")</x:f>
        <x:v>1</x:v>
      </x:c>
      <x:c r="G223" s="10" t="str">
        <x:f>IF(F223=3,"All three",IF(F223=2,IF(C223="No","Volcano + heatmap",IF(D223="No","Colleague + heatmap","Colleague + volcano")),IF(C223="Yes","Colleague only",IF(D223="Yes","Volcano only","Heatmap only"))))</x:f>
        <x:v>Volcano only</x:v>
      </x:c>
      <x:c r="H223" s="10" t="str"/>
      <x:c r="I223" s="10" t="str"/>
      <x:c r="J223" s="10" t="str">
        <x:v>Detoxification / stress</x:v>
      </x:c>
      <x:c r="K223" s="10" t="str">
        <x:v>infected_diet83_vs33</x:v>
      </x:c>
      <x:c r="L223" s="10" t="str"/>
      <x:c r="M223" s="10" t="str"/>
      <x:c r="N223" s="10" t="str"/>
    </x:row>
    <x:row r="224">
      <x:c r="A224" s="10" t="str">
        <x:v>LOC126284686</x:v>
      </x:c>
      <x:c r="B224" s="10" t="str">
        <x:v>uncharacterized LOC126284686</x:v>
      </x:c>
      <x:c r="C224" s="19" t="str">
        <x:f>IF(COUNTIF('Colleague 115'!$A$2:$A$116,A224)&gt;0,"Yes","No")</x:f>
        <x:v>No</x:v>
      </x:c>
      <x:c r="D224" s="19" t="str">
        <x:f>IF(COUNTIF('Volcano 402'!$A$2:$A$403,A224)&gt;0,"Yes","No")</x:f>
        <x:v>Yes</x:v>
      </x:c>
      <x:c r="E224" s="19" t="str">
        <x:f>IF(COUNTIF('Heatmap 169'!$A$2:$A$170,A224)&gt;0,"Yes","No")</x:f>
        <x:v>No</x:v>
      </x:c>
      <x:c r="F224" s="19" t="n">
        <x:f>COUNTIF(C224:E224,"Yes")</x:f>
        <x:v>1</x:v>
      </x:c>
      <x:c r="G224" s="10" t="str">
        <x:f>IF(F224=3,"All three",IF(F224=2,IF(C224="No","Volcano + heatmap",IF(D224="No","Colleague + heatmap","Colleague + volcano")),IF(C224="Yes","Colleague only",IF(D224="Yes","Volcano only","Heatmap only"))))</x:f>
        <x:v>Volcano only</x:v>
      </x:c>
      <x:c r="H224" s="10" t="str"/>
      <x:c r="I224" s="10" t="str"/>
      <x:c r="J224" s="10" t="str">
        <x:v>Lipid synthesis / metabolism</x:v>
      </x:c>
      <x:c r="K224" s="10" t="str">
        <x:v>infection_average_all_diets; infection_diet33</x:v>
      </x:c>
      <x:c r="L224" s="10" t="str"/>
      <x:c r="M224" s="10" t="str"/>
      <x:c r="N224" s="10" t="str"/>
    </x:row>
    <x:row r="225">
      <x:c r="A225" s="10" t="str">
        <x:v>LOC126284721</x:v>
      </x:c>
      <x:c r="B225" s="10" t="str">
        <x:v>fatty acid-binding protein, muscle-like</x:v>
      </x:c>
      <x:c r="C225" s="19" t="str">
        <x:f>IF(COUNTIF('Colleague 115'!$A$2:$A$116,A225)&gt;0,"Yes","No")</x:f>
        <x:v>No</x:v>
      </x:c>
      <x:c r="D225" s="19" t="str">
        <x:f>IF(COUNTIF('Volcano 402'!$A$2:$A$403,A225)&gt;0,"Yes","No")</x:f>
        <x:v>Yes</x:v>
      </x:c>
      <x:c r="E225" s="19" t="str">
        <x:f>IF(COUNTIF('Heatmap 169'!$A$2:$A$170,A225)&gt;0,"Yes","No")</x:f>
        <x:v>No</x:v>
      </x:c>
      <x:c r="F225" s="19" t="n">
        <x:f>COUNTIF(C225:E225,"Yes")</x:f>
        <x:v>1</x:v>
      </x:c>
      <x:c r="G225" s="10" t="str">
        <x:f>IF(F225=3,"All three",IF(F225=2,IF(C225="No","Volcano + heatmap",IF(D225="No","Colleague + heatmap","Colleague + volcano")),IF(C225="Yes","Colleague only",IF(D225="Yes","Volcano only","Heatmap only"))))</x:f>
        <x:v>Volcano only</x:v>
      </x:c>
      <x:c r="H225" s="10" t="str"/>
      <x:c r="I225" s="10" t="str"/>
      <x:c r="J225" s="10" t="str">
        <x:v>Lipid synthesis / metabolism</x:v>
      </x:c>
      <x:c r="K225" s="10" t="str">
        <x:v>infection_average_all_diets</x:v>
      </x:c>
      <x:c r="L225" s="10" t="str"/>
      <x:c r="M225" s="10" t="str"/>
      <x:c r="N225" s="10" t="str"/>
    </x:row>
    <x:row r="226">
      <x:c r="A226" s="10" t="str">
        <x:v>LOC126284752</x:v>
      </x:c>
      <x:c r="B226" s="10" t="str"/>
      <x:c r="C226" s="19" t="str">
        <x:f>IF(COUNTIF('Colleague 115'!$A$2:$A$116,A226)&gt;0,"Yes","No")</x:f>
        <x:v>No</x:v>
      </x:c>
      <x:c r="D226" s="19" t="str">
        <x:f>IF(COUNTIF('Volcano 402'!$A$2:$A$403,A226)&gt;0,"Yes","No")</x:f>
        <x:v>No</x:v>
      </x:c>
      <x:c r="E226" s="19" t="str">
        <x:f>IF(COUNTIF('Heatmap 169'!$A$2:$A$170,A226)&gt;0,"Yes","No")</x:f>
        <x:v>Yes</x:v>
      </x:c>
      <x:c r="F226" s="19" t="n">
        <x:f>COUNTIF(C226:E226,"Yes")</x:f>
        <x:v>1</x:v>
      </x:c>
      <x:c r="G226" s="10" t="str">
        <x:f>IF(F226=3,"All three",IF(F226=2,IF(C226="No","Volcano + heatmap",IF(D226="No","Colleague + heatmap","Colleague + volcano")),IF(C226="Yes","Colleague only",IF(D226="Yes","Volcano only","Heatmap only"))))</x:f>
        <x:v>Heatmap only</x:v>
      </x:c>
      <x:c r="H226" s="10" t="str"/>
      <x:c r="I226" s="10" t="str"/>
      <x:c r="J226" s="10" t="str"/>
      <x:c r="K226" s="10" t="str"/>
      <x:c r="L226" s="10" t="str">
        <x:v>Top DEG</x:v>
      </x:c>
      <x:c r="M226" s="10" t="str">
        <x:v>Other strong DEG</x:v>
      </x:c>
      <x:c r="N226" s="10" t="str">
        <x:v>DEG</x:v>
      </x:c>
    </x:row>
    <x:row r="227">
      <x:c r="A227" s="10" t="str">
        <x:v>LOC126284756</x:v>
      </x:c>
      <x:c r="B227" s="10" t="str">
        <x:v>glucose dehydrogenase [FAD, quinone]</x:v>
      </x:c>
      <x:c r="C227" s="19" t="str">
        <x:f>IF(COUNTIF('Colleague 115'!$A$2:$A$116,A227)&gt;0,"Yes","No")</x:f>
        <x:v>No</x:v>
      </x:c>
      <x:c r="D227" s="19" t="str">
        <x:f>IF(COUNTIF('Volcano 402'!$A$2:$A$403,A227)&gt;0,"Yes","No")</x:f>
        <x:v>Yes</x:v>
      </x:c>
      <x:c r="E227" s="19" t="str">
        <x:f>IF(COUNTIF('Heatmap 169'!$A$2:$A$170,A227)&gt;0,"Yes","No")</x:f>
        <x:v>No</x:v>
      </x:c>
      <x:c r="F227" s="19" t="n">
        <x:f>COUNTIF(C227:E227,"Yes")</x:f>
        <x:v>1</x:v>
      </x:c>
      <x:c r="G227" s="10" t="str">
        <x:f>IF(F227=3,"All three",IF(F227=2,IF(C227="No","Volcano + heatmap",IF(D227="No","Colleague + heatmap","Colleague + volcano")),IF(C227="Yes","Colleague only",IF(D227="Yes","Volcano only","Heatmap only"))))</x:f>
        <x:v>Volcano only</x:v>
      </x:c>
      <x:c r="H227" s="10" t="str"/>
      <x:c r="I227" s="10" t="str"/>
      <x:c r="J227" s="10" t="str">
        <x:v>Detoxification / stress</x:v>
      </x:c>
      <x:c r="K227" s="10" t="str">
        <x:v>infection_diet50</x:v>
      </x:c>
      <x:c r="L227" s="10" t="str"/>
      <x:c r="M227" s="10" t="str"/>
      <x:c r="N227" s="10" t="str"/>
    </x:row>
    <x:row r="228">
      <x:c r="A228" s="10" t="str">
        <x:v>LOC126284765</x:v>
      </x:c>
      <x:c r="B228" s="10" t="str">
        <x:v>serine protease inhibitor I/II-like</x:v>
      </x:c>
      <x:c r="C228" s="19" t="str">
        <x:f>IF(COUNTIF('Colleague 115'!$A$2:$A$116,A228)&gt;0,"Yes","No")</x:f>
        <x:v>Yes</x:v>
      </x:c>
      <x:c r="D228" s="19" t="str">
        <x:f>IF(COUNTIF('Volcano 402'!$A$2:$A$403,A228)&gt;0,"Yes","No")</x:f>
        <x:v>No</x:v>
      </x:c>
      <x:c r="E228" s="19" t="str">
        <x:f>IF(COUNTIF('Heatmap 169'!$A$2:$A$170,A228)&gt;0,"Yes","No")</x:f>
        <x:v>No</x:v>
      </x:c>
      <x:c r="F228" s="19" t="n">
        <x:f>COUNTIF(C228:E228,"Yes")</x:f>
        <x:v>1</x:v>
      </x:c>
      <x:c r="G228" s="10" t="str">
        <x:f>IF(F228=3,"All three",IF(F228=2,IF(C228="No","Volcano + heatmap",IF(D228="No","Colleague + heatmap","Colleague + volcano")),IF(C228="Yes","Colleague only",IF(D228="Yes","Volcano only","Heatmap only"))))</x:f>
        <x:v>Colleague only</x:v>
      </x:c>
      <x:c r="H228" s="10" t="str">
        <x:v>Innate Immune Recognition &amp; Signaling</x:v>
      </x:c>
      <x:c r="I228" s="10" t="str">
        <x:v>Serine Protease Inhibitors (Serpins)</x:v>
      </x:c>
      <x:c r="J228" s="10" t="str"/>
      <x:c r="K228" s="10" t="str"/>
      <x:c r="L228" s="10" t="str"/>
      <x:c r="M228" s="10" t="str"/>
      <x:c r="N228" s="10" t="str"/>
    </x:row>
    <x:row r="229">
      <x:c r="A229" s="10" t="str">
        <x:v>LOC126284801</x:v>
      </x:c>
      <x:c r="B229" s="10" t="str">
        <x:v>protein lethal(2)essential for life-like</x:v>
      </x:c>
      <x:c r="C229" s="19" t="str">
        <x:f>IF(COUNTIF('Colleague 115'!$A$2:$A$116,A229)&gt;0,"Yes","No")</x:f>
        <x:v>No</x:v>
      </x:c>
      <x:c r="D229" s="19" t="str">
        <x:f>IF(COUNTIF('Volcano 402'!$A$2:$A$403,A229)&gt;0,"Yes","No")</x:f>
        <x:v>Yes</x:v>
      </x:c>
      <x:c r="E229" s="19" t="str">
        <x:f>IF(COUNTIF('Heatmap 169'!$A$2:$A$170,A229)&gt;0,"Yes","No")</x:f>
        <x:v>No</x:v>
      </x:c>
      <x:c r="F229" s="19" t="n">
        <x:f>COUNTIF(C229:E229,"Yes")</x:f>
        <x:v>1</x:v>
      </x:c>
      <x:c r="G229" s="10" t="str">
        <x:f>IF(F229=3,"All three",IF(F229=2,IF(C229="No","Volcano + heatmap",IF(D229="No","Colleague + heatmap","Colleague + volcano")),IF(C229="Yes","Colleague only",IF(D229="Yes","Volcano only","Heatmap only"))))</x:f>
        <x:v>Volcano only</x:v>
      </x:c>
      <x:c r="H229" s="10" t="str"/>
      <x:c r="I229" s="10" t="str"/>
      <x:c r="J229" s="10" t="str">
        <x:v>Detoxification / stress</x:v>
      </x:c>
      <x:c r="K229" s="10" t="str">
        <x:v>infection_average_all_diets; infection_diet33; infection_diet50; infection_diet83</x:v>
      </x:c>
      <x:c r="L229" s="10" t="str"/>
      <x:c r="M229" s="10" t="str"/>
      <x:c r="N229" s="10" t="str"/>
    </x:row>
    <x:row r="230">
      <x:c r="A230" s="10" t="str">
        <x:v>LOC126284812</x:v>
      </x:c>
      <x:c r="B230" s="10" t="str">
        <x:v>glucose dehydrogenase [FAD, quinone]-like</x:v>
      </x:c>
      <x:c r="C230" s="19" t="str">
        <x:f>IF(COUNTIF('Colleague 115'!$A$2:$A$116,A230)&gt;0,"Yes","No")</x:f>
        <x:v>No</x:v>
      </x:c>
      <x:c r="D230" s="19" t="str">
        <x:f>IF(COUNTIF('Volcano 402'!$A$2:$A$403,A230)&gt;0,"Yes","No")</x:f>
        <x:v>Yes</x:v>
      </x:c>
      <x:c r="E230" s="19" t="str">
        <x:f>IF(COUNTIF('Heatmap 169'!$A$2:$A$170,A230)&gt;0,"Yes","No")</x:f>
        <x:v>No</x:v>
      </x:c>
      <x:c r="F230" s="19" t="n">
        <x:f>COUNTIF(C230:E230,"Yes")</x:f>
        <x:v>1</x:v>
      </x:c>
      <x:c r="G230" s="10" t="str">
        <x:f>IF(F230=3,"All three",IF(F230=2,IF(C230="No","Volcano + heatmap",IF(D230="No","Colleague + heatmap","Colleague + volcano")),IF(C230="Yes","Colleague only",IF(D230="Yes","Volcano only","Heatmap only"))))</x:f>
        <x:v>Volcano only</x:v>
      </x:c>
      <x:c r="H230" s="10" t="str"/>
      <x:c r="I230" s="10" t="str"/>
      <x:c r="J230" s="10" t="str">
        <x:v>Detoxification / stress</x:v>
      </x:c>
      <x:c r="K230" s="10" t="str">
        <x:v>infection_average_all_diets; infection_diet33; infection_diet50; infection_diet83</x:v>
      </x:c>
      <x:c r="L230" s="10" t="str"/>
      <x:c r="M230" s="10" t="str"/>
      <x:c r="N230" s="10" t="str"/>
    </x:row>
    <x:row r="231">
      <x:c r="A231" s="10" t="str">
        <x:v>LOC126284817</x:v>
      </x:c>
      <x:c r="B231" s="10" t="str">
        <x:v>protein lethal(2)essential for life-like</x:v>
      </x:c>
      <x:c r="C231" s="19" t="str">
        <x:f>IF(COUNTIF('Colleague 115'!$A$2:$A$116,A231)&gt;0,"Yes","No")</x:f>
        <x:v>No</x:v>
      </x:c>
      <x:c r="D231" s="19" t="str">
        <x:f>IF(COUNTIF('Volcano 402'!$A$2:$A$403,A231)&gt;0,"Yes","No")</x:f>
        <x:v>Yes</x:v>
      </x:c>
      <x:c r="E231" s="19" t="str">
        <x:f>IF(COUNTIF('Heatmap 169'!$A$2:$A$170,A231)&gt;0,"Yes","No")</x:f>
        <x:v>No</x:v>
      </x:c>
      <x:c r="F231" s="19" t="n">
        <x:f>COUNTIF(C231:E231,"Yes")</x:f>
        <x:v>1</x:v>
      </x:c>
      <x:c r="G231" s="10" t="str">
        <x:f>IF(F231=3,"All three",IF(F231=2,IF(C231="No","Volcano + heatmap",IF(D231="No","Colleague + heatmap","Colleague + volcano")),IF(C231="Yes","Colleague only",IF(D231="Yes","Volcano only","Heatmap only"))))</x:f>
        <x:v>Volcano only</x:v>
      </x:c>
      <x:c r="H231" s="10" t="str"/>
      <x:c r="I231" s="10" t="str"/>
      <x:c r="J231" s="10" t="str">
        <x:v>Detoxification / stress</x:v>
      </x:c>
      <x:c r="K231" s="10" t="str">
        <x:v>infection_average_all_diets; infection_diet33; infection_diet50; infection_diet83</x:v>
      </x:c>
      <x:c r="L231" s="10" t="str"/>
      <x:c r="M231" s="10" t="str"/>
      <x:c r="N231" s="10" t="str"/>
    </x:row>
    <x:row r="232">
      <x:c r="A232" s="10" t="str">
        <x:v>LOC126284840</x:v>
      </x:c>
      <x:c r="B232" s="10" t="str">
        <x:v>serine protease inhibitor I/II-like</x:v>
      </x:c>
      <x:c r="C232" s="19" t="str">
        <x:f>IF(COUNTIF('Colleague 115'!$A$2:$A$116,A232)&gt;0,"Yes","No")</x:f>
        <x:v>Yes</x:v>
      </x:c>
      <x:c r="D232" s="19" t="str">
        <x:f>IF(COUNTIF('Volcano 402'!$A$2:$A$403,A232)&gt;0,"Yes","No")</x:f>
        <x:v>No</x:v>
      </x:c>
      <x:c r="E232" s="19" t="str">
        <x:f>IF(COUNTIF('Heatmap 169'!$A$2:$A$170,A232)&gt;0,"Yes","No")</x:f>
        <x:v>No</x:v>
      </x:c>
      <x:c r="F232" s="19" t="n">
        <x:f>COUNTIF(C232:E232,"Yes")</x:f>
        <x:v>1</x:v>
      </x:c>
      <x:c r="G232" s="10" t="str">
        <x:f>IF(F232=3,"All three",IF(F232=2,IF(C232="No","Volcano + heatmap",IF(D232="No","Colleague + heatmap","Colleague + volcano")),IF(C232="Yes","Colleague only",IF(D232="Yes","Volcano only","Heatmap only"))))</x:f>
        <x:v>Colleague only</x:v>
      </x:c>
      <x:c r="H232" s="10" t="str">
        <x:v>Innate Immune Recognition &amp; Signaling</x:v>
      </x:c>
      <x:c r="I232" s="10" t="str">
        <x:v>Serine Protease Inhibitors (Serpins)</x:v>
      </x:c>
      <x:c r="J232" s="10" t="str"/>
      <x:c r="K232" s="10" t="str"/>
      <x:c r="L232" s="10" t="str"/>
      <x:c r="M232" s="10" t="str"/>
      <x:c r="N232" s="10" t="str"/>
    </x:row>
    <x:row r="233">
      <x:c r="A233" s="10" t="str">
        <x:v>LOC126284855</x:v>
      </x:c>
      <x:c r="B233" s="10" t="str">
        <x:v>transferase activity, transferring hexosyl groups. It is involved in the biological process described with metabolic process</x:v>
      </x:c>
      <x:c r="C233" s="19" t="str">
        <x:f>IF(COUNTIF('Colleague 115'!$A$2:$A$116,A233)&gt;0,"Yes","No")</x:f>
        <x:v>No</x:v>
      </x:c>
      <x:c r="D233" s="19" t="str">
        <x:f>IF(COUNTIF('Volcano 402'!$A$2:$A$403,A233)&gt;0,"Yes","No")</x:f>
        <x:v>No</x:v>
      </x:c>
      <x:c r="E233" s="19" t="str">
        <x:f>IF(COUNTIF('Heatmap 169'!$A$2:$A$170,A233)&gt;0,"Yes","No")</x:f>
        <x:v>Yes</x:v>
      </x:c>
      <x:c r="F233" s="19" t="n">
        <x:f>COUNTIF(C233:E233,"Yes")</x:f>
        <x:v>1</x:v>
      </x:c>
      <x:c r="G233" s="10" t="str">
        <x:f>IF(F233=3,"All three",IF(F233=2,IF(C233="No","Volcano + heatmap",IF(D233="No","Colleague + heatmap","Colleague + volcano")),IF(C233="Yes","Colleague only",IF(D233="Yes","Volcano only","Heatmap only"))))</x:f>
        <x:v>Heatmap only</x:v>
      </x:c>
      <x:c r="H233" s="10" t="str"/>
      <x:c r="I233" s="10" t="str"/>
      <x:c r="J233" s="10" t="str"/>
      <x:c r="K233" s="10" t="str"/>
      <x:c r="L233" s="10" t="str">
        <x:v>Functional candidate</x:v>
      </x:c>
      <x:c r="M233" s="10" t="str">
        <x:v>Nutrition/metabolism</x:v>
      </x:c>
      <x:c r="N233" s="10" t="str">
        <x:v>Not DEG</x:v>
      </x:c>
    </x:row>
    <x:row r="234">
      <x:c r="A234" s="10" t="str">
        <x:v>LOC126284872</x:v>
      </x:c>
      <x:c r="B234" s="10" t="str">
        <x:v>fatty acid synthase-like</x:v>
      </x:c>
      <x:c r="C234" s="19" t="str">
        <x:f>IF(COUNTIF('Colleague 115'!$A$2:$A$116,A234)&gt;0,"Yes","No")</x:f>
        <x:v>No</x:v>
      </x:c>
      <x:c r="D234" s="19" t="str">
        <x:f>IF(COUNTIF('Volcano 402'!$A$2:$A$403,A234)&gt;0,"Yes","No")</x:f>
        <x:v>Yes</x:v>
      </x:c>
      <x:c r="E234" s="19" t="str">
        <x:f>IF(COUNTIF('Heatmap 169'!$A$2:$A$170,A234)&gt;0,"Yes","No")</x:f>
        <x:v>No</x:v>
      </x:c>
      <x:c r="F234" s="19" t="n">
        <x:f>COUNTIF(C234:E234,"Yes")</x:f>
        <x:v>1</x:v>
      </x:c>
      <x:c r="G234" s="10" t="str">
        <x:f>IF(F234=3,"All three",IF(F234=2,IF(C234="No","Volcano + heatmap",IF(D234="No","Colleague + heatmap","Colleague + volcano")),IF(C234="Yes","Colleague only",IF(D234="Yes","Volcano only","Heatmap only"))))</x:f>
        <x:v>Volcano only</x:v>
      </x:c>
      <x:c r="H234" s="10" t="str"/>
      <x:c r="I234" s="10" t="str"/>
      <x:c r="J234" s="10" t="str">
        <x:v>Lipid synthesis / metabolism</x:v>
      </x:c>
      <x:c r="K234" s="10" t="str">
        <x:v>infection_diet50</x:v>
      </x:c>
      <x:c r="L234" s="10" t="str"/>
      <x:c r="M234" s="10" t="str"/>
      <x:c r="N234" s="10" t="str"/>
    </x:row>
    <x:row r="235">
      <x:c r="A235" s="10" t="str">
        <x:v>LOC126284874</x:v>
      </x:c>
      <x:c r="B235" s="10" t="str">
        <x:v>fatty acyl-CoA reductase wat-like</x:v>
      </x:c>
      <x:c r="C235" s="19" t="str">
        <x:f>IF(COUNTIF('Colleague 115'!$A$2:$A$116,A235)&gt;0,"Yes","No")</x:f>
        <x:v>No</x:v>
      </x:c>
      <x:c r="D235" s="19" t="str">
        <x:f>IF(COUNTIF('Volcano 402'!$A$2:$A$403,A235)&gt;0,"Yes","No")</x:f>
        <x:v>Yes</x:v>
      </x:c>
      <x:c r="E235" s="19" t="str">
        <x:f>IF(COUNTIF('Heatmap 169'!$A$2:$A$170,A235)&gt;0,"Yes","No")</x:f>
        <x:v>No</x:v>
      </x:c>
      <x:c r="F235" s="19" t="n">
        <x:f>COUNTIF(C235:E235,"Yes")</x:f>
        <x:v>1</x:v>
      </x:c>
      <x:c r="G235" s="10" t="str">
        <x:f>IF(F235=3,"All three",IF(F235=2,IF(C235="No","Volcano + heatmap",IF(D235="No","Colleague + heatmap","Colleague + volcano")),IF(C235="Yes","Colleague only",IF(D235="Yes","Volcano only","Heatmap only"))))</x:f>
        <x:v>Volcano only</x:v>
      </x:c>
      <x:c r="H235" s="10" t="str"/>
      <x:c r="I235" s="10" t="str"/>
      <x:c r="J235" s="10" t="str">
        <x:v>Lipid synthesis / metabolism</x:v>
      </x:c>
      <x:c r="K235" s="10" t="str">
        <x:v>control_diet33_vs50</x:v>
      </x:c>
      <x:c r="L235" s="10" t="str"/>
      <x:c r="M235" s="10" t="str"/>
      <x:c r="N235" s="10" t="str"/>
    </x:row>
    <x:row r="236">
      <x:c r="A236" s="10" t="str">
        <x:v>LOC126284894</x:v>
      </x:c>
      <x:c r="B236" s="10" t="str">
        <x:v>fatty acyl-CoA reductase 1-like</x:v>
      </x:c>
      <x:c r="C236" s="19" t="str">
        <x:f>IF(COUNTIF('Colleague 115'!$A$2:$A$116,A236)&gt;0,"Yes","No")</x:f>
        <x:v>No</x:v>
      </x:c>
      <x:c r="D236" s="19" t="str">
        <x:f>IF(COUNTIF('Volcano 402'!$A$2:$A$403,A236)&gt;0,"Yes","No")</x:f>
        <x:v>Yes</x:v>
      </x:c>
      <x:c r="E236" s="19" t="str">
        <x:f>IF(COUNTIF('Heatmap 169'!$A$2:$A$170,A236)&gt;0,"Yes","No")</x:f>
        <x:v>No</x:v>
      </x:c>
      <x:c r="F236" s="19" t="n">
        <x:f>COUNTIF(C236:E236,"Yes")</x:f>
        <x:v>1</x:v>
      </x:c>
      <x:c r="G236" s="10" t="str">
        <x:f>IF(F236=3,"All three",IF(F236=2,IF(C236="No","Volcano + heatmap",IF(D236="No","Colleague + heatmap","Colleague + volcano")),IF(C236="Yes","Colleague only",IF(D236="Yes","Volcano only","Heatmap only"))))</x:f>
        <x:v>Volcano only</x:v>
      </x:c>
      <x:c r="H236" s="10" t="str"/>
      <x:c r="I236" s="10" t="str"/>
      <x:c r="J236" s="10" t="str">
        <x:v>Lipid synthesis / metabolism</x:v>
      </x:c>
      <x:c r="K236" s="10" t="str">
        <x:v>control_diet33_vs50; control_diet83_vs33</x:v>
      </x:c>
      <x:c r="L236" s="10" t="str"/>
      <x:c r="M236" s="10" t="str"/>
      <x:c r="N236" s="10" t="str"/>
    </x:row>
    <x:row r="237">
      <x:c r="A237" s="10" t="str">
        <x:v>LOC126284901</x:v>
      </x:c>
      <x:c r="B237" s="10" t="str">
        <x:v>cytochrome P450 6j1-like</x:v>
      </x:c>
      <x:c r="C237" s="19" t="str">
        <x:f>IF(COUNTIF('Colleague 115'!$A$2:$A$116,A237)&gt;0,"Yes","No")</x:f>
        <x:v>No</x:v>
      </x:c>
      <x:c r="D237" s="19" t="str">
        <x:f>IF(COUNTIF('Volcano 402'!$A$2:$A$403,A237)&gt;0,"Yes","No")</x:f>
        <x:v>Yes</x:v>
      </x:c>
      <x:c r="E237" s="19" t="str">
        <x:f>IF(COUNTIF('Heatmap 169'!$A$2:$A$170,A237)&gt;0,"Yes","No")</x:f>
        <x:v>No</x:v>
      </x:c>
      <x:c r="F237" s="19" t="n">
        <x:f>COUNTIF(C237:E237,"Yes")</x:f>
        <x:v>1</x:v>
      </x:c>
      <x:c r="G237" s="10" t="str">
        <x:f>IF(F237=3,"All three",IF(F237=2,IF(C237="No","Volcano + heatmap",IF(D237="No","Colleague + heatmap","Colleague + volcano")),IF(C237="Yes","Colleague only",IF(D237="Yes","Volcano only","Heatmap only"))))</x:f>
        <x:v>Volcano only</x:v>
      </x:c>
      <x:c r="H237" s="10" t="str"/>
      <x:c r="I237" s="10" t="str"/>
      <x:c r="J237" s="10" t="str">
        <x:v>Detoxification / stress</x:v>
      </x:c>
      <x:c r="K237" s="10" t="str">
        <x:v>infected_diet83_vs33; infection_average_all_diets; infection_diet33; infection_diet50</x:v>
      </x:c>
      <x:c r="L237" s="10" t="str"/>
      <x:c r="M237" s="10" t="str"/>
      <x:c r="N237" s="10" t="str"/>
    </x:row>
    <x:row r="238">
      <x:c r="A238" s="10" t="str">
        <x:v>LOC126284902</x:v>
      </x:c>
      <x:c r="B238" s="10" t="str">
        <x:v>cytochrome P450 6j1-like</x:v>
      </x:c>
      <x:c r="C238" s="19" t="str">
        <x:f>IF(COUNTIF('Colleague 115'!$A$2:$A$116,A238)&gt;0,"Yes","No")</x:f>
        <x:v>No</x:v>
      </x:c>
      <x:c r="D238" s="19" t="str">
        <x:f>IF(COUNTIF('Volcano 402'!$A$2:$A$403,A238)&gt;0,"Yes","No")</x:f>
        <x:v>Yes</x:v>
      </x:c>
      <x:c r="E238" s="19" t="str">
        <x:f>IF(COUNTIF('Heatmap 169'!$A$2:$A$170,A238)&gt;0,"Yes","No")</x:f>
        <x:v>No</x:v>
      </x:c>
      <x:c r="F238" s="19" t="n">
        <x:f>COUNTIF(C238:E238,"Yes")</x:f>
        <x:v>1</x:v>
      </x:c>
      <x:c r="G238" s="10" t="str">
        <x:f>IF(F238=3,"All three",IF(F238=2,IF(C238="No","Volcano + heatmap",IF(D238="No","Colleague + heatmap","Colleague + volcano")),IF(C238="Yes","Colleague only",IF(D238="Yes","Volcano only","Heatmap only"))))</x:f>
        <x:v>Volcano only</x:v>
      </x:c>
      <x:c r="H238" s="10" t="str"/>
      <x:c r="I238" s="10" t="str"/>
      <x:c r="J238" s="10" t="str">
        <x:v>Detoxification / stress</x:v>
      </x:c>
      <x:c r="K238" s="10" t="str">
        <x:v>infected_diet83_vs33; infection_average_all_diets; infection_diet33</x:v>
      </x:c>
      <x:c r="L238" s="10" t="str"/>
      <x:c r="M238" s="10" t="str"/>
      <x:c r="N238" s="10" t="str"/>
    </x:row>
    <x:row r="239">
      <x:c r="A239" s="10" t="str">
        <x:v>LOC126284908</x:v>
      </x:c>
      <x:c r="B239" s="10" t="str">
        <x:v>phospholipase A2 inhibitor-like</x:v>
      </x:c>
      <x:c r="C239" s="19" t="str">
        <x:f>IF(COUNTIF('Colleague 115'!$A$2:$A$116,A239)&gt;0,"Yes","No")</x:f>
        <x:v>No</x:v>
      </x:c>
      <x:c r="D239" s="19" t="str">
        <x:f>IF(COUNTIF('Volcano 402'!$A$2:$A$403,A239)&gt;0,"Yes","No")</x:f>
        <x:v>Yes</x:v>
      </x:c>
      <x:c r="E239" s="19" t="str">
        <x:f>IF(COUNTIF('Heatmap 169'!$A$2:$A$170,A239)&gt;0,"Yes","No")</x:f>
        <x:v>No</x:v>
      </x:c>
      <x:c r="F239" s="19" t="n">
        <x:f>COUNTIF(C239:E239,"Yes")</x:f>
        <x:v>1</x:v>
      </x:c>
      <x:c r="G239" s="10" t="str">
        <x:f>IF(F239=3,"All three",IF(F239=2,IF(C239="No","Volcano + heatmap",IF(D239="No","Colleague + heatmap","Colleague + volcano")),IF(C239="Yes","Colleague only",IF(D239="Yes","Volcano only","Heatmap only"))))</x:f>
        <x:v>Volcano only</x:v>
      </x:c>
      <x:c r="H239" s="10" t="str"/>
      <x:c r="I239" s="10" t="str"/>
      <x:c r="J239" s="10" t="str">
        <x:v>Lipid synthesis / metabolism</x:v>
      </x:c>
      <x:c r="K239" s="10" t="str">
        <x:v>control_diet83_vs33; infection_diet33; infection_diet50</x:v>
      </x:c>
      <x:c r="L239" s="10" t="str"/>
      <x:c r="M239" s="10" t="str"/>
      <x:c r="N239" s="10" t="str"/>
    </x:row>
    <x:row r="240">
      <x:c r="A240" s="10" t="str">
        <x:v>LOC126284941</x:v>
      </x:c>
      <x:c r="B240" s="10" t="str">
        <x:v>lithostathine-1-like</x:v>
      </x:c>
      <x:c r="C240" s="19" t="str">
        <x:f>IF(COUNTIF('Colleague 115'!$A$2:$A$116,A240)&gt;0,"Yes","No")</x:f>
        <x:v>Yes</x:v>
      </x:c>
      <x:c r="D240" s="19" t="str">
        <x:f>IF(COUNTIF('Volcano 402'!$A$2:$A$403,A240)&gt;0,"Yes","No")</x:f>
        <x:v>Yes</x:v>
      </x:c>
      <x:c r="E240" s="19" t="str">
        <x:f>IF(COUNTIF('Heatmap 169'!$A$2:$A$170,A240)&gt;0,"Yes","No")</x:f>
        <x:v>No</x:v>
      </x:c>
      <x:c r="F240" s="19" t="n">
        <x:f>COUNTIF(C240:E240,"Yes")</x:f>
        <x:v>2</x:v>
      </x:c>
      <x:c r="G240" s="10" t="str">
        <x:f>IF(F240=3,"All three",IF(F240=2,IF(C240="No","Volcano + heatmap",IF(D240="No","Colleague + heatmap","Colleague + volcano")),IF(C240="Yes","Colleague only",IF(D240="Yes","Volcano only","Heatmap only"))))</x:f>
        <x:v>Colleague + volcano</x:v>
      </x:c>
      <x:c r="H240" s="10" t="str">
        <x:v>Innate Immune Recognition &amp; Signaling</x:v>
      </x:c>
      <x:c r="I240" s="10" t="str">
        <x:v>Pattern Recognition Receptors (PRRs)</x:v>
      </x:c>
      <x:c r="J240" s="10" t="str">
        <x:v>Immune-related</x:v>
      </x:c>
      <x:c r="K240" s="10" t="str">
        <x:v>infection_average_all_diets; infection_diet33; infection_diet50; infection_diet83</x:v>
      </x:c>
      <x:c r="L240" s="10" t="str"/>
      <x:c r="M240" s="10" t="str"/>
      <x:c r="N240" s="10" t="str"/>
    </x:row>
    <x:row r="241">
      <x:c r="A241" s="10" t="str">
        <x:v>LOC126284995</x:v>
      </x:c>
      <x:c r="B241" s="10" t="str">
        <x:v>glucose dehydrogenase [FAD, quinone]-like</x:v>
      </x:c>
      <x:c r="C241" s="19" t="str">
        <x:f>IF(COUNTIF('Colleague 115'!$A$2:$A$116,A241)&gt;0,"Yes","No")</x:f>
        <x:v>No</x:v>
      </x:c>
      <x:c r="D241" s="19" t="str">
        <x:f>IF(COUNTIF('Volcano 402'!$A$2:$A$403,A241)&gt;0,"Yes","No")</x:f>
        <x:v>Yes</x:v>
      </x:c>
      <x:c r="E241" s="19" t="str">
        <x:f>IF(COUNTIF('Heatmap 169'!$A$2:$A$170,A241)&gt;0,"Yes","No")</x:f>
        <x:v>No</x:v>
      </x:c>
      <x:c r="F241" s="19" t="n">
        <x:f>COUNTIF(C241:E241,"Yes")</x:f>
        <x:v>1</x:v>
      </x:c>
      <x:c r="G241" s="10" t="str">
        <x:f>IF(F241=3,"All three",IF(F241=2,IF(C241="No","Volcano + heatmap",IF(D241="No","Colleague + heatmap","Colleague + volcano")),IF(C241="Yes","Colleague only",IF(D241="Yes","Volcano only","Heatmap only"))))</x:f>
        <x:v>Volcano only</x:v>
      </x:c>
      <x:c r="H241" s="10" t="str"/>
      <x:c r="I241" s="10" t="str"/>
      <x:c r="J241" s="10" t="str">
        <x:v>Detoxification / stress</x:v>
      </x:c>
      <x:c r="K241" s="10" t="str">
        <x:v>infection_diet83</x:v>
      </x:c>
      <x:c r="L241" s="10" t="str"/>
      <x:c r="M241" s="10" t="str"/>
      <x:c r="N241" s="10" t="str"/>
    </x:row>
    <x:row r="242">
      <x:c r="A242" s="10" t="str">
        <x:v>LOC126285031</x:v>
      </x:c>
      <x:c r="B242" s="10" t="str">
        <x:v>fatty acyl-CoA reductase 1-like</x:v>
      </x:c>
      <x:c r="C242" s="19" t="str">
        <x:f>IF(COUNTIF('Colleague 115'!$A$2:$A$116,A242)&gt;0,"Yes","No")</x:f>
        <x:v>No</x:v>
      </x:c>
      <x:c r="D242" s="19" t="str">
        <x:f>IF(COUNTIF('Volcano 402'!$A$2:$A$403,A242)&gt;0,"Yes","No")</x:f>
        <x:v>Yes</x:v>
      </x:c>
      <x:c r="E242" s="19" t="str">
        <x:f>IF(COUNTIF('Heatmap 169'!$A$2:$A$170,A242)&gt;0,"Yes","No")</x:f>
        <x:v>No</x:v>
      </x:c>
      <x:c r="F242" s="19" t="n">
        <x:f>COUNTIF(C242:E242,"Yes")</x:f>
        <x:v>1</x:v>
      </x:c>
      <x:c r="G242" s="10" t="str">
        <x:f>IF(F242=3,"All three",IF(F242=2,IF(C242="No","Volcano + heatmap",IF(D242="No","Colleague + heatmap","Colleague + volcano")),IF(C242="Yes","Colleague only",IF(D242="Yes","Volcano only","Heatmap only"))))</x:f>
        <x:v>Volcano only</x:v>
      </x:c>
      <x:c r="H242" s="10" t="str"/>
      <x:c r="I242" s="10" t="str"/>
      <x:c r="J242" s="10" t="str">
        <x:v>Lipid synthesis / metabolism</x:v>
      </x:c>
      <x:c r="K242" s="10" t="str">
        <x:v>infected_diet83_vs33</x:v>
      </x:c>
      <x:c r="L242" s="10" t="str"/>
      <x:c r="M242" s="10" t="str"/>
      <x:c r="N242" s="10" t="str"/>
    </x:row>
    <x:row r="243">
      <x:c r="A243" s="10" t="str">
        <x:v>LOC126285050</x:v>
      </x:c>
      <x:c r="B243" s="10" t="str">
        <x:v>esterase FE4-like</x:v>
      </x:c>
      <x:c r="C243" s="19" t="str">
        <x:f>IF(COUNTIF('Colleague 115'!$A$2:$A$116,A243)&gt;0,"Yes","No")</x:f>
        <x:v>No</x:v>
      </x:c>
      <x:c r="D243" s="19" t="str">
        <x:f>IF(COUNTIF('Volcano 402'!$A$2:$A$403,A243)&gt;0,"Yes","No")</x:f>
        <x:v>Yes</x:v>
      </x:c>
      <x:c r="E243" s="19" t="str">
        <x:f>IF(COUNTIF('Heatmap 169'!$A$2:$A$170,A243)&gt;0,"Yes","No")</x:f>
        <x:v>No</x:v>
      </x:c>
      <x:c r="F243" s="19" t="n">
        <x:f>COUNTIF(C243:E243,"Yes")</x:f>
        <x:v>1</x:v>
      </x:c>
      <x:c r="G243" s="10" t="str">
        <x:f>IF(F243=3,"All three",IF(F243=2,IF(C243="No","Volcano + heatmap",IF(D243="No","Colleague + heatmap","Colleague + volcano")),IF(C243="Yes","Colleague only",IF(D243="Yes","Volcano only","Heatmap only"))))</x:f>
        <x:v>Volcano only</x:v>
      </x:c>
      <x:c r="H243" s="10" t="str"/>
      <x:c r="I243" s="10" t="str"/>
      <x:c r="J243" s="10" t="str">
        <x:v>Lipid synthesis / metabolism</x:v>
      </x:c>
      <x:c r="K243" s="10" t="str">
        <x:v>infection_diet50</x:v>
      </x:c>
      <x:c r="L243" s="10" t="str"/>
      <x:c r="M243" s="10" t="str"/>
      <x:c r="N243" s="10" t="str"/>
    </x:row>
    <x:row r="244">
      <x:c r="A244" s="10" t="str">
        <x:v>LOC126285116</x:v>
      </x:c>
      <x:c r="B244" s="10" t="str">
        <x:v>phospholipase A2 hemilipin-like</x:v>
      </x:c>
      <x:c r="C244" s="19" t="str">
        <x:f>IF(COUNTIF('Colleague 115'!$A$2:$A$116,A244)&gt;0,"Yes","No")</x:f>
        <x:v>No</x:v>
      </x:c>
      <x:c r="D244" s="19" t="str">
        <x:f>IF(COUNTIF('Volcano 402'!$A$2:$A$403,A244)&gt;0,"Yes","No")</x:f>
        <x:v>Yes</x:v>
      </x:c>
      <x:c r="E244" s="19" t="str">
        <x:f>IF(COUNTIF('Heatmap 169'!$A$2:$A$170,A244)&gt;0,"Yes","No")</x:f>
        <x:v>No</x:v>
      </x:c>
      <x:c r="F244" s="19" t="n">
        <x:f>COUNTIF(C244:E244,"Yes")</x:f>
        <x:v>1</x:v>
      </x:c>
      <x:c r="G244" s="10" t="str">
        <x:f>IF(F244=3,"All three",IF(F244=2,IF(C244="No","Volcano + heatmap",IF(D244="No","Colleague + heatmap","Colleague + volcano")),IF(C244="Yes","Colleague only",IF(D244="Yes","Volcano only","Heatmap only"))))</x:f>
        <x:v>Volcano only</x:v>
      </x:c>
      <x:c r="H244" s="10" t="str"/>
      <x:c r="I244" s="10" t="str"/>
      <x:c r="J244" s="10" t="str">
        <x:v>Lipid synthesis / metabolism</x:v>
      </x:c>
      <x:c r="K244" s="10" t="str">
        <x:v>infected_diet33_vs50; infection_diet50</x:v>
      </x:c>
      <x:c r="L244" s="10" t="str"/>
      <x:c r="M244" s="10" t="str"/>
      <x:c r="N244" s="10" t="str"/>
    </x:row>
    <x:row r="245">
      <x:c r="A245" s="10" t="str">
        <x:v>LOC126285281</x:v>
      </x:c>
      <x:c r="B245" s="10" t="str">
        <x:v>glucose dehydrogenase [FAD, quinone]-like</x:v>
      </x:c>
      <x:c r="C245" s="19" t="str">
        <x:f>IF(COUNTIF('Colleague 115'!$A$2:$A$116,A245)&gt;0,"Yes","No")</x:f>
        <x:v>No</x:v>
      </x:c>
      <x:c r="D245" s="19" t="str">
        <x:f>IF(COUNTIF('Volcano 402'!$A$2:$A$403,A245)&gt;0,"Yes","No")</x:f>
        <x:v>Yes</x:v>
      </x:c>
      <x:c r="E245" s="19" t="str">
        <x:f>IF(COUNTIF('Heatmap 169'!$A$2:$A$170,A245)&gt;0,"Yes","No")</x:f>
        <x:v>No</x:v>
      </x:c>
      <x:c r="F245" s="19" t="n">
        <x:f>COUNTIF(C245:E245,"Yes")</x:f>
        <x:v>1</x:v>
      </x:c>
      <x:c r="G245" s="10" t="str">
        <x:f>IF(F245=3,"All three",IF(F245=2,IF(C245="No","Volcano + heatmap",IF(D245="No","Colleague + heatmap","Colleague + volcano")),IF(C245="Yes","Colleague only",IF(D245="Yes","Volcano only","Heatmap only"))))</x:f>
        <x:v>Volcano only</x:v>
      </x:c>
      <x:c r="H245" s="10" t="str"/>
      <x:c r="I245" s="10" t="str"/>
      <x:c r="J245" s="10" t="str">
        <x:v>Detoxification / stress</x:v>
      </x:c>
      <x:c r="K245" s="10" t="str">
        <x:v>infection_diet83</x:v>
      </x:c>
      <x:c r="L245" s="10" t="str"/>
      <x:c r="M245" s="10" t="str"/>
      <x:c r="N245" s="10" t="str"/>
    </x:row>
    <x:row r="246">
      <x:c r="A246" s="10" t="str">
        <x:v>LOC126285286</x:v>
      </x:c>
      <x:c r="B246" s="10" t="str">
        <x:v>fatty acyl-CoA reductase 1-like</x:v>
      </x:c>
      <x:c r="C246" s="19" t="str">
        <x:f>IF(COUNTIF('Colleague 115'!$A$2:$A$116,A246)&gt;0,"Yes","No")</x:f>
        <x:v>No</x:v>
      </x:c>
      <x:c r="D246" s="19" t="str">
        <x:f>IF(COUNTIF('Volcano 402'!$A$2:$A$403,A246)&gt;0,"Yes","No")</x:f>
        <x:v>Yes</x:v>
      </x:c>
      <x:c r="E246" s="19" t="str">
        <x:f>IF(COUNTIF('Heatmap 169'!$A$2:$A$170,A246)&gt;0,"Yes","No")</x:f>
        <x:v>No</x:v>
      </x:c>
      <x:c r="F246" s="19" t="n">
        <x:f>COUNTIF(C246:E246,"Yes")</x:f>
        <x:v>1</x:v>
      </x:c>
      <x:c r="G246" s="10" t="str">
        <x:f>IF(F246=3,"All three",IF(F246=2,IF(C246="No","Volcano + heatmap",IF(D246="No","Colleague + heatmap","Colleague + volcano")),IF(C246="Yes","Colleague only",IF(D246="Yes","Volcano only","Heatmap only"))))</x:f>
        <x:v>Volcano only</x:v>
      </x:c>
      <x:c r="H246" s="10" t="str"/>
      <x:c r="I246" s="10" t="str"/>
      <x:c r="J246" s="10" t="str">
        <x:v>Lipid synthesis / metabolism</x:v>
      </x:c>
      <x:c r="K246" s="10" t="str">
        <x:v>infection_average_all_diets; infection_diet33</x:v>
      </x:c>
      <x:c r="L246" s="10" t="str"/>
      <x:c r="M246" s="10" t="str"/>
      <x:c r="N246" s="10" t="str"/>
    </x:row>
    <x:row r="247">
      <x:c r="A247" s="10" t="str">
        <x:v>LOC126285290</x:v>
      </x:c>
      <x:c r="B247" s="10" t="str">
        <x:v>fatty acyl-CoA reductase 1-like</x:v>
      </x:c>
      <x:c r="C247" s="19" t="str">
        <x:f>IF(COUNTIF('Colleague 115'!$A$2:$A$116,A247)&gt;0,"Yes","No")</x:f>
        <x:v>No</x:v>
      </x:c>
      <x:c r="D247" s="19" t="str">
        <x:f>IF(COUNTIF('Volcano 402'!$A$2:$A$403,A247)&gt;0,"Yes","No")</x:f>
        <x:v>Yes</x:v>
      </x:c>
      <x:c r="E247" s="19" t="str">
        <x:f>IF(COUNTIF('Heatmap 169'!$A$2:$A$170,A247)&gt;0,"Yes","No")</x:f>
        <x:v>No</x:v>
      </x:c>
      <x:c r="F247" s="19" t="n">
        <x:f>COUNTIF(C247:E247,"Yes")</x:f>
        <x:v>1</x:v>
      </x:c>
      <x:c r="G247" s="10" t="str">
        <x:f>IF(F247=3,"All three",IF(F247=2,IF(C247="No","Volcano + heatmap",IF(D247="No","Colleague + heatmap","Colleague + volcano")),IF(C247="Yes","Colleague only",IF(D247="Yes","Volcano only","Heatmap only"))))</x:f>
        <x:v>Volcano only</x:v>
      </x:c>
      <x:c r="H247" s="10" t="str"/>
      <x:c r="I247" s="10" t="str"/>
      <x:c r="J247" s="10" t="str">
        <x:v>Lipid synthesis / metabolism</x:v>
      </x:c>
      <x:c r="K247" s="10" t="str">
        <x:v>control_diet33_vs50</x:v>
      </x:c>
      <x:c r="L247" s="10" t="str"/>
      <x:c r="M247" s="10" t="str"/>
      <x:c r="N247" s="10" t="str"/>
    </x:row>
    <x:row r="248">
      <x:c r="A248" s="10" t="str">
        <x:v>LOC126285378</x:v>
      </x:c>
      <x:c r="B248" s="10" t="str">
        <x:v>acetyl-CoA carboxylase</x:v>
      </x:c>
      <x:c r="C248" s="19" t="str">
        <x:f>IF(COUNTIF('Colleague 115'!$A$2:$A$116,A248)&gt;0,"Yes","No")</x:f>
        <x:v>No</x:v>
      </x:c>
      <x:c r="D248" s="19" t="str">
        <x:f>IF(COUNTIF('Volcano 402'!$A$2:$A$403,A248)&gt;0,"Yes","No")</x:f>
        <x:v>Yes</x:v>
      </x:c>
      <x:c r="E248" s="19" t="str">
        <x:f>IF(COUNTIF('Heatmap 169'!$A$2:$A$170,A248)&gt;0,"Yes","No")</x:f>
        <x:v>No</x:v>
      </x:c>
      <x:c r="F248" s="19" t="n">
        <x:f>COUNTIF(C248:E248,"Yes")</x:f>
        <x:v>1</x:v>
      </x:c>
      <x:c r="G248" s="10" t="str">
        <x:f>IF(F248=3,"All three",IF(F248=2,IF(C248="No","Volcano + heatmap",IF(D248="No","Colleague + heatmap","Colleague + volcano")),IF(C248="Yes","Colleague only",IF(D248="Yes","Volcano only","Heatmap only"))))</x:f>
        <x:v>Volcano only</x:v>
      </x:c>
      <x:c r="H248" s="10" t="str"/>
      <x:c r="I248" s="10" t="str"/>
      <x:c r="J248" s="10" t="str">
        <x:v>Lipid synthesis / metabolism</x:v>
      </x:c>
      <x:c r="K248" s="10" t="str">
        <x:v>infection_average_all_diets; infection_diet50; infection_diet83</x:v>
      </x:c>
      <x:c r="L248" s="10" t="str"/>
      <x:c r="M248" s="10" t="str"/>
      <x:c r="N248" s="10" t="str"/>
    </x:row>
    <x:row r="249">
      <x:c r="A249" s="10" t="str">
        <x:v>LOC126285457</x:v>
      </x:c>
      <x:c r="B249" s="10" t="str">
        <x:v>putative fatty acyl-CoA reductase CG5065</x:v>
      </x:c>
      <x:c r="C249" s="19" t="str">
        <x:f>IF(COUNTIF('Colleague 115'!$A$2:$A$116,A249)&gt;0,"Yes","No")</x:f>
        <x:v>No</x:v>
      </x:c>
      <x:c r="D249" s="19" t="str">
        <x:f>IF(COUNTIF('Volcano 402'!$A$2:$A$403,A249)&gt;0,"Yes","No")</x:f>
        <x:v>Yes</x:v>
      </x:c>
      <x:c r="E249" s="19" t="str">
        <x:f>IF(COUNTIF('Heatmap 169'!$A$2:$A$170,A249)&gt;0,"Yes","No")</x:f>
        <x:v>Yes</x:v>
      </x:c>
      <x:c r="F249" s="19" t="n">
        <x:f>COUNTIF(C249:E249,"Yes")</x:f>
        <x:v>2</x:v>
      </x:c>
      <x:c r="G249" s="10" t="str">
        <x:f>IF(F249=3,"All three",IF(F249=2,IF(C249="No","Volcano + heatmap",IF(D249="No","Colleague + heatmap","Colleague + volcano")),IF(C249="Yes","Colleague only",IF(D249="Yes","Volcano only","Heatmap only"))))</x:f>
        <x:v>Volcano + heatmap</x:v>
      </x:c>
      <x:c r="H249" s="10" t="str"/>
      <x:c r="I249" s="10" t="str"/>
      <x:c r="J249" s="10" t="str">
        <x:v>Lipid synthesis / metabolism</x:v>
      </x:c>
      <x:c r="K249" s="10" t="str">
        <x:v>infection_average_all_diets; infection_diet33; infection_diet50; infection_diet83</x:v>
      </x:c>
      <x:c r="L249" s="10" t="str">
        <x:v>Top DEG</x:v>
      </x:c>
      <x:c r="M249" s="10" t="str">
        <x:v>Nutrition/metabolism</x:v>
      </x:c>
      <x:c r="N249" s="10" t="str">
        <x:v>DEG</x:v>
      </x:c>
    </x:row>
    <x:row r="250">
      <x:c r="A250" s="10" t="str">
        <x:v>LOC126285462</x:v>
      </x:c>
      <x:c r="B250" s="10" t="str">
        <x:v>peptidoglycan-recognition protein SB1-like</x:v>
      </x:c>
      <x:c r="C250" s="19" t="str">
        <x:f>IF(COUNTIF('Colleague 115'!$A$2:$A$116,A250)&gt;0,"Yes","No")</x:f>
        <x:v>No</x:v>
      </x:c>
      <x:c r="D250" s="19" t="str">
        <x:f>IF(COUNTIF('Volcano 402'!$A$2:$A$403,A250)&gt;0,"Yes","No")</x:f>
        <x:v>Yes</x:v>
      </x:c>
      <x:c r="E250" s="19" t="str">
        <x:f>IF(COUNTIF('Heatmap 169'!$A$2:$A$170,A250)&gt;0,"Yes","No")</x:f>
        <x:v>Yes</x:v>
      </x:c>
      <x:c r="F250" s="19" t="n">
        <x:f>COUNTIF(C250:E250,"Yes")</x:f>
        <x:v>2</x:v>
      </x:c>
      <x:c r="G250" s="10" t="str">
        <x:f>IF(F250=3,"All three",IF(F250=2,IF(C250="No","Volcano + heatmap",IF(D250="No","Colleague + heatmap","Colleague + volcano")),IF(C250="Yes","Colleague only",IF(D250="Yes","Volcano only","Heatmap only"))))</x:f>
        <x:v>Volcano + heatmap</x:v>
      </x:c>
      <x:c r="H250" s="10" t="str"/>
      <x:c r="I250" s="10" t="str"/>
      <x:c r="J250" s="10" t="str">
        <x:v>Antimicrobial peptides</x:v>
      </x:c>
      <x:c r="K250" s="10" t="str">
        <x:v>infection_average_all_diets; infection_diet33; infection_diet50; infection_diet83</x:v>
      </x:c>
      <x:c r="L250" s="10" t="str">
        <x:v>Top DEG</x:v>
      </x:c>
      <x:c r="M250" s="10" t="str">
        <x:v>Immune-related</x:v>
      </x:c>
      <x:c r="N250" s="10" t="str">
        <x:v>DEG</x:v>
      </x:c>
    </x:row>
    <x:row r="251">
      <x:c r="A251" s="10" t="str">
        <x:v>LOC126285464</x:v>
      </x:c>
      <x:c r="B251" s="10" t="str">
        <x:v>putative fatty acyl-CoA reductase CG5065</x:v>
      </x:c>
      <x:c r="C251" s="19" t="str">
        <x:f>IF(COUNTIF('Colleague 115'!$A$2:$A$116,A251)&gt;0,"Yes","No")</x:f>
        <x:v>No</x:v>
      </x:c>
      <x:c r="D251" s="19" t="str">
        <x:f>IF(COUNTIF('Volcano 402'!$A$2:$A$403,A251)&gt;0,"Yes","No")</x:f>
        <x:v>Yes</x:v>
      </x:c>
      <x:c r="E251" s="19" t="str">
        <x:f>IF(COUNTIF('Heatmap 169'!$A$2:$A$170,A251)&gt;0,"Yes","No")</x:f>
        <x:v>No</x:v>
      </x:c>
      <x:c r="F251" s="19" t="n">
        <x:f>COUNTIF(C251:E251,"Yes")</x:f>
        <x:v>1</x:v>
      </x:c>
      <x:c r="G251" s="10" t="str">
        <x:f>IF(F251=3,"All three",IF(F251=2,IF(C251="No","Volcano + heatmap",IF(D251="No","Colleague + heatmap","Colleague + volcano")),IF(C251="Yes","Colleague only",IF(D251="Yes","Volcano only","Heatmap only"))))</x:f>
        <x:v>Volcano only</x:v>
      </x:c>
      <x:c r="H251" s="10" t="str"/>
      <x:c r="I251" s="10" t="str"/>
      <x:c r="J251" s="10" t="str">
        <x:v>Lipid synthesis / metabolism</x:v>
      </x:c>
      <x:c r="K251" s="10" t="str">
        <x:v>infection_diet50</x:v>
      </x:c>
      <x:c r="L251" s="10" t="str"/>
      <x:c r="M251" s="10" t="str"/>
      <x:c r="N251" s="10" t="str"/>
    </x:row>
    <x:row r="252">
      <x:c r="A252" s="10" t="str">
        <x:v>LOC126291637</x:v>
      </x:c>
      <x:c r="B252" s="10" t="str">
        <x:v>juvenile hormone esterase-like</x:v>
      </x:c>
      <x:c r="C252" s="19" t="str">
        <x:f>IF(COUNTIF('Colleague 115'!$A$2:$A$116,A252)&gt;0,"Yes","No")</x:f>
        <x:v>No</x:v>
      </x:c>
      <x:c r="D252" s="19" t="str">
        <x:f>IF(COUNTIF('Volcano 402'!$A$2:$A$403,A252)&gt;0,"Yes","No")</x:f>
        <x:v>Yes</x:v>
      </x:c>
      <x:c r="E252" s="19" t="str">
        <x:f>IF(COUNTIF('Heatmap 169'!$A$2:$A$170,A252)&gt;0,"Yes","No")</x:f>
        <x:v>No</x:v>
      </x:c>
      <x:c r="F252" s="19" t="n">
        <x:f>COUNTIF(C252:E252,"Yes")</x:f>
        <x:v>1</x:v>
      </x:c>
      <x:c r="G252" s="10" t="str">
        <x:f>IF(F252=3,"All three",IF(F252=2,IF(C252="No","Volcano + heatmap",IF(D252="No","Colleague + heatmap","Colleague + volcano")),IF(C252="Yes","Colleague only",IF(D252="Yes","Volcano only","Heatmap only"))))</x:f>
        <x:v>Volcano only</x:v>
      </x:c>
      <x:c r="H252" s="10" t="str"/>
      <x:c r="I252" s="10" t="str"/>
      <x:c r="J252" s="10" t="str">
        <x:v>Lipid synthesis / metabolism</x:v>
      </x:c>
      <x:c r="K252" s="10" t="str">
        <x:v>infection_diet50</x:v>
      </x:c>
      <x:c r="L252" s="10" t="str"/>
      <x:c r="M252" s="10" t="str"/>
      <x:c r="N252" s="10" t="str"/>
    </x:row>
    <x:row r="253">
      <x:c r="A253" s="10" t="str">
        <x:v>LOC126291679</x:v>
      </x:c>
      <x:c r="B253" s="10" t="str">
        <x:v>DNA topoisomerase 2-like</x:v>
      </x:c>
      <x:c r="C253" s="19" t="str">
        <x:f>IF(COUNTIF('Colleague 115'!$A$2:$A$116,A253)&gt;0,"Yes","No")</x:f>
        <x:v>No</x:v>
      </x:c>
      <x:c r="D253" s="19" t="str">
        <x:f>IF(COUNTIF('Volcano 402'!$A$2:$A$403,A253)&gt;0,"Yes","No")</x:f>
        <x:v>Yes</x:v>
      </x:c>
      <x:c r="E253" s="19" t="str">
        <x:f>IF(COUNTIF('Heatmap 169'!$A$2:$A$170,A253)&gt;0,"Yes","No")</x:f>
        <x:v>No</x:v>
      </x:c>
      <x:c r="F253" s="19" t="n">
        <x:f>COUNTIF(C253:E253,"Yes")</x:f>
        <x:v>1</x:v>
      </x:c>
      <x:c r="G253" s="10" t="str">
        <x:f>IF(F253=3,"All three",IF(F253=2,IF(C253="No","Volcano + heatmap",IF(D253="No","Colleague + heatmap","Colleague + volcano")),IF(C253="Yes","Colleague only",IF(D253="Yes","Volcano only","Heatmap only"))))</x:f>
        <x:v>Volcano only</x:v>
      </x:c>
      <x:c r="H253" s="10" t="str"/>
      <x:c r="I253" s="10" t="str"/>
      <x:c r="J253" s="10" t="str">
        <x:v>Immune-related</x:v>
      </x:c>
      <x:c r="K253" s="10" t="str">
        <x:v>infection_diet50</x:v>
      </x:c>
      <x:c r="L253" s="10" t="str"/>
      <x:c r="M253" s="10" t="str"/>
      <x:c r="N253" s="10" t="str"/>
    </x:row>
    <x:row r="254">
      <x:c r="A254" s="10" t="str">
        <x:v>LOC126291749</x:v>
      </x:c>
      <x:c r="B254" s="10" t="str">
        <x:v>MD-2-related lipid-recognition protein-like</x:v>
      </x:c>
      <x:c r="C254" s="19" t="str">
        <x:f>IF(COUNTIF('Colleague 115'!$A$2:$A$116,A254)&gt;0,"Yes","No")</x:f>
        <x:v>No</x:v>
      </x:c>
      <x:c r="D254" s="19" t="str">
        <x:f>IF(COUNTIF('Volcano 402'!$A$2:$A$403,A254)&gt;0,"Yes","No")</x:f>
        <x:v>Yes</x:v>
      </x:c>
      <x:c r="E254" s="19" t="str">
        <x:f>IF(COUNTIF('Heatmap 169'!$A$2:$A$170,A254)&gt;0,"Yes","No")</x:f>
        <x:v>No</x:v>
      </x:c>
      <x:c r="F254" s="19" t="n">
        <x:f>COUNTIF(C254:E254,"Yes")</x:f>
        <x:v>1</x:v>
      </x:c>
      <x:c r="G254" s="10" t="str">
        <x:f>IF(F254=3,"All three",IF(F254=2,IF(C254="No","Volcano + heatmap",IF(D254="No","Colleague + heatmap","Colleague + volcano")),IF(C254="Yes","Colleague only",IF(D254="Yes","Volcano only","Heatmap only"))))</x:f>
        <x:v>Volcano only</x:v>
      </x:c>
      <x:c r="H254" s="10" t="str"/>
      <x:c r="I254" s="10" t="str"/>
      <x:c r="J254" s="10" t="str">
        <x:v>Lipid synthesis / metabolism</x:v>
      </x:c>
      <x:c r="K254" s="10" t="str">
        <x:v>infection_diet50</x:v>
      </x:c>
      <x:c r="L254" s="10" t="str"/>
      <x:c r="M254" s="10" t="str"/>
      <x:c r="N254" s="10" t="str"/>
    </x:row>
    <x:row r="255">
      <x:c r="A255" s="10" t="str">
        <x:v>LOC126291849</x:v>
      </x:c>
      <x:c r="B255" s="10" t="str">
        <x:v>peroxidase-like</x:v>
      </x:c>
      <x:c r="C255" s="19" t="str">
        <x:f>IF(COUNTIF('Colleague 115'!$A$2:$A$116,A255)&gt;0,"Yes","No")</x:f>
        <x:v>No</x:v>
      </x:c>
      <x:c r="D255" s="19" t="str">
        <x:f>IF(COUNTIF('Volcano 402'!$A$2:$A$403,A255)&gt;0,"Yes","No")</x:f>
        <x:v>Yes</x:v>
      </x:c>
      <x:c r="E255" s="19" t="str">
        <x:f>IF(COUNTIF('Heatmap 169'!$A$2:$A$170,A255)&gt;0,"Yes","No")</x:f>
        <x:v>No</x:v>
      </x:c>
      <x:c r="F255" s="19" t="n">
        <x:f>COUNTIF(C255:E255,"Yes")</x:f>
        <x:v>1</x:v>
      </x:c>
      <x:c r="G255" s="10" t="str">
        <x:f>IF(F255=3,"All three",IF(F255=2,IF(C255="No","Volcano + heatmap",IF(D255="No","Colleague + heatmap","Colleague + volcano")),IF(C255="Yes","Colleague only",IF(D255="Yes","Volcano only","Heatmap only"))))</x:f>
        <x:v>Volcano only</x:v>
      </x:c>
      <x:c r="H255" s="10" t="str"/>
      <x:c r="I255" s="10" t="str"/>
      <x:c r="J255" s="10" t="str">
        <x:v>Detoxification / stress</x:v>
      </x:c>
      <x:c r="K255" s="10" t="str">
        <x:v>infection_diet50</x:v>
      </x:c>
      <x:c r="L255" s="10" t="str"/>
      <x:c r="M255" s="10" t="str"/>
      <x:c r="N255" s="10" t="str"/>
    </x:row>
    <x:row r="256">
      <x:c r="A256" s="10" t="str">
        <x:v>LOC126291886</x:v>
      </x:c>
      <x:c r="B256" s="10" t="str"/>
      <x:c r="C256" s="19" t="str">
        <x:f>IF(COUNTIF('Colleague 115'!$A$2:$A$116,A256)&gt;0,"Yes","No")</x:f>
        <x:v>No</x:v>
      </x:c>
      <x:c r="D256" s="19" t="str">
        <x:f>IF(COUNTIF('Volcano 402'!$A$2:$A$403,A256)&gt;0,"Yes","No")</x:f>
        <x:v>No</x:v>
      </x:c>
      <x:c r="E256" s="19" t="str">
        <x:f>IF(COUNTIF('Heatmap 169'!$A$2:$A$170,A256)&gt;0,"Yes","No")</x:f>
        <x:v>Yes</x:v>
      </x:c>
      <x:c r="F256" s="19" t="n">
        <x:f>COUNTIF(C256:E256,"Yes")</x:f>
        <x:v>1</x:v>
      </x:c>
      <x:c r="G256" s="10" t="str">
        <x:f>IF(F256=3,"All three",IF(F256=2,IF(C256="No","Volcano + heatmap",IF(D256="No","Colleague + heatmap","Colleague + volcano")),IF(C256="Yes","Colleague only",IF(D256="Yes","Volcano only","Heatmap only"))))</x:f>
        <x:v>Heatmap only</x:v>
      </x:c>
      <x:c r="H256" s="10" t="str"/>
      <x:c r="I256" s="10" t="str"/>
      <x:c r="J256" s="10" t="str"/>
      <x:c r="K256" s="10" t="str"/>
      <x:c r="L256" s="10" t="str">
        <x:v>Top DEG</x:v>
      </x:c>
      <x:c r="M256" s="10" t="str">
        <x:v>Other strong DEG</x:v>
      </x:c>
      <x:c r="N256" s="10" t="str">
        <x:v>DEG</x:v>
      </x:c>
    </x:row>
    <x:row r="257">
      <x:c r="A257" s="10" t="str">
        <x:v>LOC126291921</x:v>
      </x:c>
      <x:c r="B257" s="10" t="str">
        <x:v>serine-type endopeptidase activity. It is involved in the biological process described with proteolysis</x:v>
      </x:c>
      <x:c r="C257" s="19" t="str">
        <x:f>IF(COUNTIF('Colleague 115'!$A$2:$A$116,A257)&gt;0,"Yes","No")</x:f>
        <x:v>No</x:v>
      </x:c>
      <x:c r="D257" s="19" t="str">
        <x:f>IF(COUNTIF('Volcano 402'!$A$2:$A$403,A257)&gt;0,"Yes","No")</x:f>
        <x:v>No</x:v>
      </x:c>
      <x:c r="E257" s="19" t="str">
        <x:f>IF(COUNTIF('Heatmap 169'!$A$2:$A$170,A257)&gt;0,"Yes","No")</x:f>
        <x:v>Yes</x:v>
      </x:c>
      <x:c r="F257" s="19" t="n">
        <x:f>COUNTIF(C257:E257,"Yes")</x:f>
        <x:v>1</x:v>
      </x:c>
      <x:c r="G257" s="10" t="str">
        <x:f>IF(F257=3,"All three",IF(F257=2,IF(C257="No","Volcano + heatmap",IF(D257="No","Colleague + heatmap","Colleague + volcano")),IF(C257="Yes","Colleague only",IF(D257="Yes","Volcano only","Heatmap only"))))</x:f>
        <x:v>Heatmap only</x:v>
      </x:c>
      <x:c r="H257" s="10" t="str"/>
      <x:c r="I257" s="10" t="str"/>
      <x:c r="J257" s="10" t="str"/>
      <x:c r="K257" s="10" t="str"/>
      <x:c r="L257" s="10" t="str">
        <x:v>Functional candidate</x:v>
      </x:c>
      <x:c r="M257" s="10" t="str">
        <x:v>Immune-related</x:v>
      </x:c>
      <x:c r="N257" s="10" t="str">
        <x:v>DEG</x:v>
      </x:c>
    </x:row>
    <x:row r="258">
      <x:c r="A258" s="10" t="str">
        <x:v>LOC126291948</x:v>
      </x:c>
      <x:c r="B258" s="10" t="str">
        <x:v>gamma-interferon-inducible lysosomal thiol reductase-like</x:v>
      </x:c>
      <x:c r="C258" s="19" t="str">
        <x:f>IF(COUNTIF('Colleague 115'!$A$2:$A$116,A258)&gt;0,"Yes","No")</x:f>
        <x:v>Yes</x:v>
      </x:c>
      <x:c r="D258" s="19" t="str">
        <x:f>IF(COUNTIF('Volcano 402'!$A$2:$A$403,A258)&gt;0,"Yes","No")</x:f>
        <x:v>No</x:v>
      </x:c>
      <x:c r="E258" s="19" t="str">
        <x:f>IF(COUNTIF('Heatmap 169'!$A$2:$A$170,A258)&gt;0,"Yes","No")</x:f>
        <x:v>No</x:v>
      </x:c>
      <x:c r="F258" s="19" t="n">
        <x:f>COUNTIF(C258:E258,"Yes")</x:f>
        <x:v>1</x:v>
      </x:c>
      <x:c r="G258" s="10" t="str">
        <x:f>IF(F258=3,"All three",IF(F258=2,IF(C258="No","Volcano + heatmap",IF(D258="No","Colleague + heatmap","Colleague + volcano")),IF(C258="Yes","Colleague only",IF(D258="Yes","Volcano only","Heatmap only"))))</x:f>
        <x:v>Colleague only</x:v>
      </x:c>
      <x:c r="H258" s="10" t="str">
        <x:v>Cellular Immunity</x:v>
      </x:c>
      <x:c r="I258" s="10" t="str">
        <x:v>Lysosomal Processing &amp; Antigen Presentation (GILT)</x:v>
      </x:c>
      <x:c r="J258" s="10" t="str"/>
      <x:c r="K258" s="10" t="str"/>
      <x:c r="L258" s="10" t="str"/>
      <x:c r="M258" s="10" t="str"/>
      <x:c r="N258" s="10" t="str"/>
    </x:row>
    <x:row r="259">
      <x:c r="A259" s="10" t="str">
        <x:v>LOC126291966</x:v>
      </x:c>
      <x:c r="B259" s="10" t="str">
        <x:v>gamma-interferon-inducible lysosomal thiol reductase-like</x:v>
      </x:c>
      <x:c r="C259" s="19" t="str">
        <x:f>IF(COUNTIF('Colleague 115'!$A$2:$A$116,A259)&gt;0,"Yes","No")</x:f>
        <x:v>Yes</x:v>
      </x:c>
      <x:c r="D259" s="19" t="str">
        <x:f>IF(COUNTIF('Volcano 402'!$A$2:$A$403,A259)&gt;0,"Yes","No")</x:f>
        <x:v>No</x:v>
      </x:c>
      <x:c r="E259" s="19" t="str">
        <x:f>IF(COUNTIF('Heatmap 169'!$A$2:$A$170,A259)&gt;0,"Yes","No")</x:f>
        <x:v>No</x:v>
      </x:c>
      <x:c r="F259" s="19" t="n">
        <x:f>COUNTIF(C259:E259,"Yes")</x:f>
        <x:v>1</x:v>
      </x:c>
      <x:c r="G259" s="10" t="str">
        <x:f>IF(F259=3,"All three",IF(F259=2,IF(C259="No","Volcano + heatmap",IF(D259="No","Colleague + heatmap","Colleague + volcano")),IF(C259="Yes","Colleague only",IF(D259="Yes","Volcano only","Heatmap only"))))</x:f>
        <x:v>Colleague only</x:v>
      </x:c>
      <x:c r="H259" s="10" t="str">
        <x:v>Cellular Immunity</x:v>
      </x:c>
      <x:c r="I259" s="10" t="str">
        <x:v>Lysosomal Processing &amp; Antigen Presentation (GILT)</x:v>
      </x:c>
      <x:c r="J259" s="10" t="str"/>
      <x:c r="K259" s="10" t="str"/>
      <x:c r="L259" s="10" t="str"/>
      <x:c r="M259" s="10" t="str"/>
      <x:c r="N259" s="10" t="str"/>
    </x:row>
    <x:row r="260">
      <x:c r="A260" s="10" t="str">
        <x:v>LOC126292129</x:v>
      </x:c>
      <x:c r="B260" s="10" t="str">
        <x:v>cytochrome P450 4C1-like</x:v>
      </x:c>
      <x:c r="C260" s="19" t="str">
        <x:f>IF(COUNTIF('Colleague 115'!$A$2:$A$116,A260)&gt;0,"Yes","No")</x:f>
        <x:v>No</x:v>
      </x:c>
      <x:c r="D260" s="19" t="str">
        <x:f>IF(COUNTIF('Volcano 402'!$A$2:$A$403,A260)&gt;0,"Yes","No")</x:f>
        <x:v>Yes</x:v>
      </x:c>
      <x:c r="E260" s="19" t="str">
        <x:f>IF(COUNTIF('Heatmap 169'!$A$2:$A$170,A260)&gt;0,"Yes","No")</x:f>
        <x:v>No</x:v>
      </x:c>
      <x:c r="F260" s="19" t="n">
        <x:f>COUNTIF(C260:E260,"Yes")</x:f>
        <x:v>1</x:v>
      </x:c>
      <x:c r="G260" s="10" t="str">
        <x:f>IF(F260=3,"All three",IF(F260=2,IF(C260="No","Volcano + heatmap",IF(D260="No","Colleague + heatmap","Colleague + volcano")),IF(C260="Yes","Colleague only",IF(D260="Yes","Volcano only","Heatmap only"))))</x:f>
        <x:v>Volcano only</x:v>
      </x:c>
      <x:c r="H260" s="10" t="str"/>
      <x:c r="I260" s="10" t="str"/>
      <x:c r="J260" s="10" t="str">
        <x:v>Detoxification / stress</x:v>
      </x:c>
      <x:c r="K260" s="10" t="str">
        <x:v>control_diet33_vs50; control_diet83_vs33; infection_diet33</x:v>
      </x:c>
      <x:c r="L260" s="10" t="str"/>
      <x:c r="M260" s="10" t="str"/>
      <x:c r="N260" s="10" t="str"/>
    </x:row>
    <x:row r="261">
      <x:c r="A261" s="10" t="str">
        <x:v>LOC126292150</x:v>
      </x:c>
      <x:c r="B261" s="10" t="str">
        <x:v>gamma-interferon-inducible lysosomal thiol reductase-like</x:v>
      </x:c>
      <x:c r="C261" s="19" t="str">
        <x:f>IF(COUNTIF('Colleague 115'!$A$2:$A$116,A261)&gt;0,"Yes","No")</x:f>
        <x:v>Yes</x:v>
      </x:c>
      <x:c r="D261" s="19" t="str">
        <x:f>IF(COUNTIF('Volcano 402'!$A$2:$A$403,A261)&gt;0,"Yes","No")</x:f>
        <x:v>No</x:v>
      </x:c>
      <x:c r="E261" s="19" t="str">
        <x:f>IF(COUNTIF('Heatmap 169'!$A$2:$A$170,A261)&gt;0,"Yes","No")</x:f>
        <x:v>No</x:v>
      </x:c>
      <x:c r="F261" s="19" t="n">
        <x:f>COUNTIF(C261:E261,"Yes")</x:f>
        <x:v>1</x:v>
      </x:c>
      <x:c r="G261" s="10" t="str">
        <x:f>IF(F261=3,"All three",IF(F261=2,IF(C261="No","Volcano + heatmap",IF(D261="No","Colleague + heatmap","Colleague + volcano")),IF(C261="Yes","Colleague only",IF(D261="Yes","Volcano only","Heatmap only"))))</x:f>
        <x:v>Colleague only</x:v>
      </x:c>
      <x:c r="H261" s="10" t="str">
        <x:v>Cellular Immunity</x:v>
      </x:c>
      <x:c r="I261" s="10" t="str">
        <x:v>Lysosomal Processing &amp; Antigen Presentation (GILT)</x:v>
      </x:c>
      <x:c r="J261" s="10" t="str"/>
      <x:c r="K261" s="10" t="str"/>
      <x:c r="L261" s="10" t="str"/>
      <x:c r="M261" s="10" t="str"/>
      <x:c r="N261" s="10" t="str"/>
    </x:row>
    <x:row r="262">
      <x:c r="A262" s="10" t="str">
        <x:v>LOC126292205</x:v>
      </x:c>
      <x:c r="B262" s="10" t="str">
        <x:v>esterase FE4-like</x:v>
      </x:c>
      <x:c r="C262" s="19" t="str">
        <x:f>IF(COUNTIF('Colleague 115'!$A$2:$A$116,A262)&gt;0,"Yes","No")</x:f>
        <x:v>No</x:v>
      </x:c>
      <x:c r="D262" s="19" t="str">
        <x:f>IF(COUNTIF('Volcano 402'!$A$2:$A$403,A262)&gt;0,"Yes","No")</x:f>
        <x:v>Yes</x:v>
      </x:c>
      <x:c r="E262" s="19" t="str">
        <x:f>IF(COUNTIF('Heatmap 169'!$A$2:$A$170,A262)&gt;0,"Yes","No")</x:f>
        <x:v>No</x:v>
      </x:c>
      <x:c r="F262" s="19" t="n">
        <x:f>COUNTIF(C262:E262,"Yes")</x:f>
        <x:v>1</x:v>
      </x:c>
      <x:c r="G262" s="10" t="str">
        <x:f>IF(F262=3,"All three",IF(F262=2,IF(C262="No","Volcano + heatmap",IF(D262="No","Colleague + heatmap","Colleague + volcano")),IF(C262="Yes","Colleague only",IF(D262="Yes","Volcano only","Heatmap only"))))</x:f>
        <x:v>Volcano only</x:v>
      </x:c>
      <x:c r="H262" s="10" t="str"/>
      <x:c r="I262" s="10" t="str"/>
      <x:c r="J262" s="10" t="str">
        <x:v>Lipid synthesis / metabolism</x:v>
      </x:c>
      <x:c r="K262" s="10" t="str">
        <x:v>infection_diet83</x:v>
      </x:c>
      <x:c r="L262" s="10" t="str"/>
      <x:c r="M262" s="10" t="str"/>
      <x:c r="N262" s="10" t="str"/>
    </x:row>
    <x:row r="263">
      <x:c r="A263" s="10" t="str">
        <x:v>LOC126292206</x:v>
      </x:c>
      <x:c r="B263" s="10" t="str">
        <x:v>esterase FE4-like</x:v>
      </x:c>
      <x:c r="C263" s="19" t="str">
        <x:f>IF(COUNTIF('Colleague 115'!$A$2:$A$116,A263)&gt;0,"Yes","No")</x:f>
        <x:v>No</x:v>
      </x:c>
      <x:c r="D263" s="19" t="str">
        <x:f>IF(COUNTIF('Volcano 402'!$A$2:$A$403,A263)&gt;0,"Yes","No")</x:f>
        <x:v>Yes</x:v>
      </x:c>
      <x:c r="E263" s="19" t="str">
        <x:f>IF(COUNTIF('Heatmap 169'!$A$2:$A$170,A263)&gt;0,"Yes","No")</x:f>
        <x:v>No</x:v>
      </x:c>
      <x:c r="F263" s="19" t="n">
        <x:f>COUNTIF(C263:E263,"Yes")</x:f>
        <x:v>1</x:v>
      </x:c>
      <x:c r="G263" s="10" t="str">
        <x:f>IF(F263=3,"All three",IF(F263=2,IF(C263="No","Volcano + heatmap",IF(D263="No","Colleague + heatmap","Colleague + volcano")),IF(C263="Yes","Colleague only",IF(D263="Yes","Volcano only","Heatmap only"))))</x:f>
        <x:v>Volcano only</x:v>
      </x:c>
      <x:c r="H263" s="10" t="str"/>
      <x:c r="I263" s="10" t="str"/>
      <x:c r="J263" s="10" t="str">
        <x:v>Lipid synthesis / metabolism</x:v>
      </x:c>
      <x:c r="K263" s="10" t="str">
        <x:v>infection_average_all_diets; infection_diet33</x:v>
      </x:c>
      <x:c r="L263" s="10" t="str"/>
      <x:c r="M263" s="10" t="str"/>
      <x:c r="N263" s="10" t="str"/>
    </x:row>
    <x:row r="264">
      <x:c r="A264" s="10" t="str">
        <x:v>LOC126293286</x:v>
      </x:c>
      <x:c r="B264" s="10" t="str">
        <x:v>Fibrillar collagens C-terminal domain</x:v>
      </x:c>
      <x:c r="C264" s="19" t="str">
        <x:f>IF(COUNTIF('Colleague 115'!$A$2:$A$116,A264)&gt;0,"Yes","No")</x:f>
        <x:v>No</x:v>
      </x:c>
      <x:c r="D264" s="19" t="str">
        <x:f>IF(COUNTIF('Volcano 402'!$A$2:$A$403,A264)&gt;0,"Yes","No")</x:f>
        <x:v>No</x:v>
      </x:c>
      <x:c r="E264" s="19" t="str">
        <x:f>IF(COUNTIF('Heatmap 169'!$A$2:$A$170,A264)&gt;0,"Yes","No")</x:f>
        <x:v>Yes</x:v>
      </x:c>
      <x:c r="F264" s="19" t="n">
        <x:f>COUNTIF(C264:E264,"Yes")</x:f>
        <x:v>1</x:v>
      </x:c>
      <x:c r="G264" s="10" t="str">
        <x:f>IF(F264=3,"All three",IF(F264=2,IF(C264="No","Volcano + heatmap",IF(D264="No","Colleague + heatmap","Colleague + volcano")),IF(C264="Yes","Colleague only",IF(D264="Yes","Volcano only","Heatmap only"))))</x:f>
        <x:v>Heatmap only</x:v>
      </x:c>
      <x:c r="H264" s="10" t="str"/>
      <x:c r="I264" s="10" t="str"/>
      <x:c r="J264" s="10" t="str"/>
      <x:c r="K264" s="10" t="str"/>
      <x:c r="L264" s="10" t="str">
        <x:v>Top DEG</x:v>
      </x:c>
      <x:c r="M264" s="10" t="str">
        <x:v>Other strong DEG</x:v>
      </x:c>
      <x:c r="N264" s="10" t="str">
        <x:v>DEG</x:v>
      </x:c>
    </x:row>
    <x:row r="265">
      <x:c r="A265" s="10" t="str">
        <x:v>LOC126293319</x:v>
      </x:c>
      <x:c r="B265" s="10" t="str">
        <x:v>Immunoglobulin</x:v>
      </x:c>
      <x:c r="C265" s="19" t="str">
        <x:f>IF(COUNTIF('Colleague 115'!$A$2:$A$116,A265)&gt;0,"Yes","No")</x:f>
        <x:v>No</x:v>
      </x:c>
      <x:c r="D265" s="19" t="str">
        <x:f>IF(COUNTIF('Volcano 402'!$A$2:$A$403,A265)&gt;0,"Yes","No")</x:f>
        <x:v>No</x:v>
      </x:c>
      <x:c r="E265" s="19" t="str">
        <x:f>IF(COUNTIF('Heatmap 169'!$A$2:$A$170,A265)&gt;0,"Yes","No")</x:f>
        <x:v>Yes</x:v>
      </x:c>
      <x:c r="F265" s="19" t="n">
        <x:f>COUNTIF(C265:E265,"Yes")</x:f>
        <x:v>1</x:v>
      </x:c>
      <x:c r="G265" s="10" t="str">
        <x:f>IF(F265=3,"All three",IF(F265=2,IF(C265="No","Volcano + heatmap",IF(D265="No","Colleague + heatmap","Colleague + volcano")),IF(C265="Yes","Colleague only",IF(D265="Yes","Volcano only","Heatmap only"))))</x:f>
        <x:v>Heatmap only</x:v>
      </x:c>
      <x:c r="H265" s="10" t="str"/>
      <x:c r="I265" s="10" t="str"/>
      <x:c r="J265" s="10" t="str"/>
      <x:c r="K265" s="10" t="str"/>
      <x:c r="L265" s="10" t="str">
        <x:v>Functional candidate</x:v>
      </x:c>
      <x:c r="M265" s="10" t="str">
        <x:v>Immune-related</x:v>
      </x:c>
      <x:c r="N265" s="10" t="str">
        <x:v>Not DEG</x:v>
      </x:c>
    </x:row>
    <x:row r="266">
      <x:c r="A266" s="10" t="str">
        <x:v>LOC126293326</x:v>
      </x:c>
      <x:c r="B266" s="10" t="str">
        <x:v>peroxidase-like</x:v>
      </x:c>
      <x:c r="C266" s="19" t="str">
        <x:f>IF(COUNTIF('Colleague 115'!$A$2:$A$116,A266)&gt;0,"Yes","No")</x:f>
        <x:v>No</x:v>
      </x:c>
      <x:c r="D266" s="19" t="str">
        <x:f>IF(COUNTIF('Volcano 402'!$A$2:$A$403,A266)&gt;0,"Yes","No")</x:f>
        <x:v>Yes</x:v>
      </x:c>
      <x:c r="E266" s="19" t="str">
        <x:f>IF(COUNTIF('Heatmap 169'!$A$2:$A$170,A266)&gt;0,"Yes","No")</x:f>
        <x:v>Yes</x:v>
      </x:c>
      <x:c r="F266" s="19" t="n">
        <x:f>COUNTIF(C266:E266,"Yes")</x:f>
        <x:v>2</x:v>
      </x:c>
      <x:c r="G266" s="10" t="str">
        <x:f>IF(F266=3,"All three",IF(F266=2,IF(C266="No","Volcano + heatmap",IF(D266="No","Colleague + heatmap","Colleague + volcano")),IF(C266="Yes","Colleague only",IF(D266="Yes","Volcano only","Heatmap only"))))</x:f>
        <x:v>Volcano + heatmap</x:v>
      </x:c>
      <x:c r="H266" s="10" t="str"/>
      <x:c r="I266" s="10" t="str"/>
      <x:c r="J266" s="10" t="str">
        <x:v>Detoxification / stress</x:v>
      </x:c>
      <x:c r="K266" s="10" t="str">
        <x:v>infected_diet33_vs50; infection_average_all_diets; infection_diet50; infection_diet83</x:v>
      </x:c>
      <x:c r="L266" s="10" t="str">
        <x:v>Functional candidate</x:v>
      </x:c>
      <x:c r="M266" s="10" t="str">
        <x:v>Detoxification/stress</x:v>
      </x:c>
      <x:c r="N266" s="10" t="str">
        <x:v>DEG</x:v>
      </x:c>
    </x:row>
    <x:row r="267">
      <x:c r="A267" s="10" t="str">
        <x:v>LOC126293368</x:v>
      </x:c>
      <x:c r="B267" s="10" t="str">
        <x:v>phosphoserine aminotransferase</x:v>
      </x:c>
      <x:c r="C267" s="19" t="str">
        <x:f>IF(COUNTIF('Colleague 115'!$A$2:$A$116,A267)&gt;0,"Yes","No")</x:f>
        <x:v>Yes</x:v>
      </x:c>
      <x:c r="D267" s="19" t="str">
        <x:f>IF(COUNTIF('Volcano 402'!$A$2:$A$403,A267)&gt;0,"Yes","No")</x:f>
        <x:v>No</x:v>
      </x:c>
      <x:c r="E267" s="19" t="str">
        <x:f>IF(COUNTIF('Heatmap 169'!$A$2:$A$170,A267)&gt;0,"Yes","No")</x:f>
        <x:v>No</x:v>
      </x:c>
      <x:c r="F267" s="19" t="n">
        <x:f>COUNTIF(C267:E267,"Yes")</x:f>
        <x:v>1</x:v>
      </x:c>
      <x:c r="G267" s="10" t="str">
        <x:f>IF(F267=3,"All three",IF(F267=2,IF(C267="No","Volcano + heatmap",IF(D267="No","Colleague + heatmap","Colleague + volcano")),IF(C267="Yes","Colleague only",IF(D267="Yes","Volcano only","Heatmap only"))))</x:f>
        <x:v>Colleague only</x:v>
      </x:c>
      <x:c r="H267" s="10" t="str">
        <x:v>Nitrogen, Amino Acid Transport &amp; Metabolism</x:v>
      </x:c>
      <x:c r="I267" s="10" t="str">
        <x:v>Amino Acid Transaminases &amp; Biosynthesis</x:v>
      </x:c>
      <x:c r="J267" s="10" t="str"/>
      <x:c r="K267" s="10" t="str"/>
      <x:c r="L267" s="10" t="str"/>
      <x:c r="M267" s="10" t="str"/>
      <x:c r="N267" s="10" t="str"/>
    </x:row>
    <x:row r="268">
      <x:c r="A268" s="10" t="str">
        <x:v>LOC126293411</x:v>
      </x:c>
      <x:c r="B268" s="10" t="str">
        <x:v>60S ribosomal protein L15</x:v>
      </x:c>
      <x:c r="C268" s="19" t="str">
        <x:f>IF(COUNTIF('Colleague 115'!$A$2:$A$116,A268)&gt;0,"Yes","No")</x:f>
        <x:v>Yes</x:v>
      </x:c>
      <x:c r="D268" s="19" t="str">
        <x:f>IF(COUNTIF('Volcano 402'!$A$2:$A$403,A268)&gt;0,"Yes","No")</x:f>
        <x:v>Yes</x:v>
      </x:c>
      <x:c r="E268" s="19" t="str">
        <x:f>IF(COUNTIF('Heatmap 169'!$A$2:$A$170,A268)&gt;0,"Yes","No")</x:f>
        <x:v>No</x:v>
      </x:c>
      <x:c r="F268" s="19" t="n">
        <x:f>COUNTIF(C268:E268,"Yes")</x:f>
        <x:v>2</x:v>
      </x:c>
      <x:c r="G268" s="10" t="str">
        <x:f>IF(F268=3,"All three",IF(F268=2,IF(C268="No","Volcano + heatmap",IF(D268="No","Colleague + heatmap","Colleague + volcano")),IF(C268="Yes","Colleague only",IF(D268="Yes","Volcano only","Heatmap only"))))</x:f>
        <x:v>Colleague + volcano</x:v>
      </x:c>
      <x:c r="H268" s="10" t="str">
        <x:v>Protein Synthesis &amp; Translation</x:v>
      </x:c>
      <x:c r="I268" s="10" t="str">
        <x:v>Ribosomal Machinery &amp; Protein Synthesis</x:v>
      </x:c>
      <x:c r="J268" s="10" t="str">
        <x:v>Protein synthesis / storage</x:v>
      </x:c>
      <x:c r="K268" s="10" t="str">
        <x:v>infection_diet33</x:v>
      </x:c>
      <x:c r="L268" s="10" t="str"/>
      <x:c r="M268" s="10" t="str"/>
      <x:c r="N268" s="10" t="str"/>
    </x:row>
    <x:row r="269">
      <x:c r="A269" s="10" t="str">
        <x:v>LOC126293516</x:v>
      </x:c>
      <x:c r="B269" s="10" t="str">
        <x:v>probable cytochrome P450 304a1</x:v>
      </x:c>
      <x:c r="C269" s="19" t="str">
        <x:f>IF(COUNTIF('Colleague 115'!$A$2:$A$116,A269)&gt;0,"Yes","No")</x:f>
        <x:v>No</x:v>
      </x:c>
      <x:c r="D269" s="19" t="str">
        <x:f>IF(COUNTIF('Volcano 402'!$A$2:$A$403,A269)&gt;0,"Yes","No")</x:f>
        <x:v>Yes</x:v>
      </x:c>
      <x:c r="E269" s="19" t="str">
        <x:f>IF(COUNTIF('Heatmap 169'!$A$2:$A$170,A269)&gt;0,"Yes","No")</x:f>
        <x:v>No</x:v>
      </x:c>
      <x:c r="F269" s="19" t="n">
        <x:f>COUNTIF(C269:E269,"Yes")</x:f>
        <x:v>1</x:v>
      </x:c>
      <x:c r="G269" s="10" t="str">
        <x:f>IF(F269=3,"All three",IF(F269=2,IF(C269="No","Volcano + heatmap",IF(D269="No","Colleague + heatmap","Colleague + volcano")),IF(C269="Yes","Colleague only",IF(D269="Yes","Volcano only","Heatmap only"))))</x:f>
        <x:v>Volcano only</x:v>
      </x:c>
      <x:c r="H269" s="10" t="str"/>
      <x:c r="I269" s="10" t="str"/>
      <x:c r="J269" s="10" t="str">
        <x:v>Detoxification / stress</x:v>
      </x:c>
      <x:c r="K269" s="10" t="str">
        <x:v>infection_average_all_diets</x:v>
      </x:c>
      <x:c r="L269" s="10" t="str"/>
      <x:c r="M269" s="10" t="str"/>
      <x:c r="N269" s="10" t="str"/>
    </x:row>
    <x:row r="270">
      <x:c r="A270" s="10" t="str">
        <x:v>LOC126293579</x:v>
      </x:c>
      <x:c r="B270" s="10" t="str">
        <x:v>melanization protease 1-like</x:v>
      </x:c>
      <x:c r="C270" s="19" t="str">
        <x:f>IF(COUNTIF('Colleague 115'!$A$2:$A$116,A270)&gt;0,"Yes","No")</x:f>
        <x:v>Yes</x:v>
      </x:c>
      <x:c r="D270" s="19" t="str">
        <x:f>IF(COUNTIF('Volcano 402'!$A$2:$A$403,A270)&gt;0,"Yes","No")</x:f>
        <x:v>Yes</x:v>
      </x:c>
      <x:c r="E270" s="19" t="str">
        <x:f>IF(COUNTIF('Heatmap 169'!$A$2:$A$170,A270)&gt;0,"Yes","No")</x:f>
        <x:v>No</x:v>
      </x:c>
      <x:c r="F270" s="19" t="n">
        <x:f>COUNTIF(C270:E270,"Yes")</x:f>
        <x:v>2</x:v>
      </x:c>
      <x:c r="G270" s="10" t="str">
        <x:f>IF(F270=3,"All three",IF(F270=2,IF(C270="No","Volcano + heatmap",IF(D270="No","Colleague + heatmap","Colleague + volcano")),IF(C270="Yes","Colleague only",IF(D270="Yes","Volcano only","Heatmap only"))))</x:f>
        <x:v>Colleague + volcano</x:v>
      </x:c>
      <x:c r="H270" s="10" t="str">
        <x:v>Humoral Immunity</x:v>
      </x:c>
      <x:c r="I270" s="10" t="str">
        <x:v>Prophenoloxidase (proPO) System</x:v>
      </x:c>
      <x:c r="J270" s="10" t="str">
        <x:v>Immune-related</x:v>
      </x:c>
      <x:c r="K270" s="10" t="str">
        <x:v>infection_average_all_diets; infection_diet33; infection_diet50; infection_diet83</x:v>
      </x:c>
      <x:c r="L270" s="10" t="str"/>
      <x:c r="M270" s="10" t="str"/>
      <x:c r="N270" s="10" t="str"/>
    </x:row>
    <x:row r="271">
      <x:c r="A271" s="10" t="str">
        <x:v>LOC126293695</x:v>
      </x:c>
      <x:c r="B271" s="10" t="str">
        <x:v>acetylcholinesterase-like</x:v>
      </x:c>
      <x:c r="C271" s="19" t="str">
        <x:f>IF(COUNTIF('Colleague 115'!$A$2:$A$116,A271)&gt;0,"Yes","No")</x:f>
        <x:v>No</x:v>
      </x:c>
      <x:c r="D271" s="19" t="str">
        <x:f>IF(COUNTIF('Volcano 402'!$A$2:$A$403,A271)&gt;0,"Yes","No")</x:f>
        <x:v>Yes</x:v>
      </x:c>
      <x:c r="E271" s="19" t="str">
        <x:f>IF(COUNTIF('Heatmap 169'!$A$2:$A$170,A271)&gt;0,"Yes","No")</x:f>
        <x:v>No</x:v>
      </x:c>
      <x:c r="F271" s="19" t="n">
        <x:f>COUNTIF(C271:E271,"Yes")</x:f>
        <x:v>1</x:v>
      </x:c>
      <x:c r="G271" s="10" t="str">
        <x:f>IF(F271=3,"All three",IF(F271=2,IF(C271="No","Volcano + heatmap",IF(D271="No","Colleague + heatmap","Colleague + volcano")),IF(C271="Yes","Colleague only",IF(D271="Yes","Volcano only","Heatmap only"))))</x:f>
        <x:v>Volcano only</x:v>
      </x:c>
      <x:c r="H271" s="10" t="str"/>
      <x:c r="I271" s="10" t="str"/>
      <x:c r="J271" s="10" t="str">
        <x:v>Lipid synthesis / metabolism</x:v>
      </x:c>
      <x:c r="K271" s="10" t="str">
        <x:v>infection_diet50</x:v>
      </x:c>
      <x:c r="L271" s="10" t="str"/>
      <x:c r="M271" s="10" t="str"/>
      <x:c r="N271" s="10" t="str"/>
    </x:row>
    <x:row r="272">
      <x:c r="A272" s="10" t="str">
        <x:v>LOC126293721</x:v>
      </x:c>
      <x:c r="B272" s="10" t="str">
        <x:v>probable cytochrome P450 304a1</x:v>
      </x:c>
      <x:c r="C272" s="19" t="str">
        <x:f>IF(COUNTIF('Colleague 115'!$A$2:$A$116,A272)&gt;0,"Yes","No")</x:f>
        <x:v>No</x:v>
      </x:c>
      <x:c r="D272" s="19" t="str">
        <x:f>IF(COUNTIF('Volcano 402'!$A$2:$A$403,A272)&gt;0,"Yes","No")</x:f>
        <x:v>Yes</x:v>
      </x:c>
      <x:c r="E272" s="19" t="str">
        <x:f>IF(COUNTIF('Heatmap 169'!$A$2:$A$170,A272)&gt;0,"Yes","No")</x:f>
        <x:v>No</x:v>
      </x:c>
      <x:c r="F272" s="19" t="n">
        <x:f>COUNTIF(C272:E272,"Yes")</x:f>
        <x:v>1</x:v>
      </x:c>
      <x:c r="G272" s="10" t="str">
        <x:f>IF(F272=3,"All three",IF(F272=2,IF(C272="No","Volcano + heatmap",IF(D272="No","Colleague + heatmap","Colleague + volcano")),IF(C272="Yes","Colleague only",IF(D272="Yes","Volcano only","Heatmap only"))))</x:f>
        <x:v>Volcano only</x:v>
      </x:c>
      <x:c r="H272" s="10" t="str"/>
      <x:c r="I272" s="10" t="str"/>
      <x:c r="J272" s="10" t="str">
        <x:v>Detoxification / stress</x:v>
      </x:c>
      <x:c r="K272" s="10" t="str">
        <x:v>control_diet83_vs50</x:v>
      </x:c>
      <x:c r="L272" s="10" t="str"/>
      <x:c r="M272" s="10" t="str"/>
      <x:c r="N272" s="10" t="str"/>
    </x:row>
    <x:row r="273">
      <x:c r="A273" s="10" t="str">
        <x:v>LOC126293748</x:v>
      </x:c>
      <x:c r="B273" s="10" t="str">
        <x:v>NADH-ubiquinone oxidoreductase chain 1-like</x:v>
      </x:c>
      <x:c r="C273" s="19" t="str">
        <x:f>IF(COUNTIF('Colleague 115'!$A$2:$A$116,A273)&gt;0,"Yes","No")</x:f>
        <x:v>No</x:v>
      </x:c>
      <x:c r="D273" s="19" t="str">
        <x:f>IF(COUNTIF('Volcano 402'!$A$2:$A$403,A273)&gt;0,"Yes","No")</x:f>
        <x:v>Yes</x:v>
      </x:c>
      <x:c r="E273" s="19" t="str">
        <x:f>IF(COUNTIF('Heatmap 169'!$A$2:$A$170,A273)&gt;0,"Yes","No")</x:f>
        <x:v>No</x:v>
      </x:c>
      <x:c r="F273" s="19" t="n">
        <x:f>COUNTIF(C273:E273,"Yes")</x:f>
        <x:v>1</x:v>
      </x:c>
      <x:c r="G273" s="10" t="str">
        <x:f>IF(F273=3,"All three",IF(F273=2,IF(C273="No","Volcano + heatmap",IF(D273="No","Colleague + heatmap","Colleague + volcano")),IF(C273="Yes","Colleague only",IF(D273="Yes","Volcano only","Heatmap only"))))</x:f>
        <x:v>Volcano only</x:v>
      </x:c>
      <x:c r="H273" s="10" t="str"/>
      <x:c r="I273" s="10" t="str"/>
      <x:c r="J273" s="10" t="str">
        <x:v>Detoxification / stress</x:v>
      </x:c>
      <x:c r="K273" s="10" t="str">
        <x:v>infection_diet50</x:v>
      </x:c>
      <x:c r="L273" s="10" t="str"/>
      <x:c r="M273" s="10" t="str"/>
      <x:c r="N273" s="10" t="str"/>
    </x:row>
    <x:row r="274">
      <x:c r="A274" s="10" t="str">
        <x:v>LOC126294950</x:v>
      </x:c>
      <x:c r="B274" s="10" t="str"/>
      <x:c r="C274" s="19" t="str">
        <x:f>IF(COUNTIF('Colleague 115'!$A$2:$A$116,A274)&gt;0,"Yes","No")</x:f>
        <x:v>No</x:v>
      </x:c>
      <x:c r="D274" s="19" t="str">
        <x:f>IF(COUNTIF('Volcano 402'!$A$2:$A$403,A274)&gt;0,"Yes","No")</x:f>
        <x:v>No</x:v>
      </x:c>
      <x:c r="E274" s="19" t="str">
        <x:f>IF(COUNTIF('Heatmap 169'!$A$2:$A$170,A274)&gt;0,"Yes","No")</x:f>
        <x:v>Yes</x:v>
      </x:c>
      <x:c r="F274" s="19" t="n">
        <x:f>COUNTIF(C274:E274,"Yes")</x:f>
        <x:v>1</x:v>
      </x:c>
      <x:c r="G274" s="10" t="str">
        <x:f>IF(F274=3,"All three",IF(F274=2,IF(C274="No","Volcano + heatmap",IF(D274="No","Colleague + heatmap","Colleague + volcano")),IF(C274="Yes","Colleague only",IF(D274="Yes","Volcano only","Heatmap only"))))</x:f>
        <x:v>Heatmap only</x:v>
      </x:c>
      <x:c r="H274" s="10" t="str"/>
      <x:c r="I274" s="10" t="str"/>
      <x:c r="J274" s="10" t="str"/>
      <x:c r="K274" s="10" t="str"/>
      <x:c r="L274" s="10" t="str">
        <x:v>Top DEG</x:v>
      </x:c>
      <x:c r="M274" s="10" t="str">
        <x:v>Other strong DEG</x:v>
      </x:c>
      <x:c r="N274" s="10" t="str">
        <x:v>DEG</x:v>
      </x:c>
    </x:row>
    <x:row r="275">
      <x:c r="A275" s="10" t="str">
        <x:v>LOC126295222</x:v>
      </x:c>
      <x:c r="B275" s="10" t="str">
        <x:v>uncharacterized LOC126295222</x:v>
      </x:c>
      <x:c r="C275" s="19" t="str">
        <x:f>IF(COUNTIF('Colleague 115'!$A$2:$A$116,A275)&gt;0,"Yes","No")</x:f>
        <x:v>No</x:v>
      </x:c>
      <x:c r="D275" s="19" t="str">
        <x:f>IF(COUNTIF('Volcano 402'!$A$2:$A$403,A275)&gt;0,"Yes","No")</x:f>
        <x:v>Yes</x:v>
      </x:c>
      <x:c r="E275" s="19" t="str">
        <x:f>IF(COUNTIF('Heatmap 169'!$A$2:$A$170,A275)&gt;0,"Yes","No")</x:f>
        <x:v>No</x:v>
      </x:c>
      <x:c r="F275" s="19" t="n">
        <x:f>COUNTIF(C275:E275,"Yes")</x:f>
        <x:v>1</x:v>
      </x:c>
      <x:c r="G275" s="10" t="str">
        <x:f>IF(F275=3,"All three",IF(F275=2,IF(C275="No","Volcano + heatmap",IF(D275="No","Colleague + heatmap","Colleague + volcano")),IF(C275="Yes","Colleague only",IF(D275="Yes","Volcano only","Heatmap only"))))</x:f>
        <x:v>Volcano only</x:v>
      </x:c>
      <x:c r="H275" s="10" t="str"/>
      <x:c r="I275" s="10" t="str"/>
      <x:c r="J275" s="10" t="str">
        <x:v>Detoxification / stress</x:v>
      </x:c>
      <x:c r="K275" s="10" t="str">
        <x:v>infection_diet50</x:v>
      </x:c>
      <x:c r="L275" s="10" t="str"/>
      <x:c r="M275" s="10" t="str"/>
      <x:c r="N275" s="10" t="str"/>
    </x:row>
    <x:row r="276">
      <x:c r="A276" s="10" t="str">
        <x:v>LOC126295284</x:v>
      </x:c>
      <x:c r="B276" s="10" t="str">
        <x:v>procollagen-lysine,2-oxoglutarate 5-dioxygenase</x:v>
      </x:c>
      <x:c r="C276" s="19" t="str">
        <x:f>IF(COUNTIF('Colleague 115'!$A$2:$A$116,A276)&gt;0,"Yes","No")</x:f>
        <x:v>No</x:v>
      </x:c>
      <x:c r="D276" s="19" t="str">
        <x:f>IF(COUNTIF('Volcano 402'!$A$2:$A$403,A276)&gt;0,"Yes","No")</x:f>
        <x:v>Yes</x:v>
      </x:c>
      <x:c r="E276" s="19" t="str">
        <x:f>IF(COUNTIF('Heatmap 169'!$A$2:$A$170,A276)&gt;0,"Yes","No")</x:f>
        <x:v>No</x:v>
      </x:c>
      <x:c r="F276" s="19" t="n">
        <x:f>COUNTIF(C276:E276,"Yes")</x:f>
        <x:v>1</x:v>
      </x:c>
      <x:c r="G276" s="10" t="str">
        <x:f>IF(F276=3,"All three",IF(F276=2,IF(C276="No","Volcano + heatmap",IF(D276="No","Colleague + heatmap","Colleague + volcano")),IF(C276="Yes","Colleague only",IF(D276="Yes","Volcano only","Heatmap only"))))</x:f>
        <x:v>Volcano only</x:v>
      </x:c>
      <x:c r="H276" s="10" t="str"/>
      <x:c r="I276" s="10" t="str"/>
      <x:c r="J276" s="10" t="str">
        <x:v>Detoxification / stress</x:v>
      </x:c>
      <x:c r="K276" s="10" t="str">
        <x:v>infection_diet83</x:v>
      </x:c>
      <x:c r="L276" s="10" t="str"/>
      <x:c r="M276" s="10" t="str"/>
      <x:c r="N276" s="10" t="str"/>
    </x:row>
    <x:row r="277">
      <x:c r="A277" s="10" t="str">
        <x:v>LOC126295311</x:v>
      </x:c>
      <x:c r="B277" s="10" t="str">
        <x:v>probable cationic amino acid transporter</x:v>
      </x:c>
      <x:c r="C277" s="19" t="str">
        <x:f>IF(COUNTIF('Colleague 115'!$A$2:$A$116,A277)&gt;0,"Yes","No")</x:f>
        <x:v>Yes</x:v>
      </x:c>
      <x:c r="D277" s="19" t="str">
        <x:f>IF(COUNTIF('Volcano 402'!$A$2:$A$403,A277)&gt;0,"Yes","No")</x:f>
        <x:v>No</x:v>
      </x:c>
      <x:c r="E277" s="19" t="str">
        <x:f>IF(COUNTIF('Heatmap 169'!$A$2:$A$170,A277)&gt;0,"Yes","No")</x:f>
        <x:v>No</x:v>
      </x:c>
      <x:c r="F277" s="19" t="n">
        <x:f>COUNTIF(C277:E277,"Yes")</x:f>
        <x:v>1</x:v>
      </x:c>
      <x:c r="G277" s="10" t="str">
        <x:f>IF(F277=3,"All three",IF(F277=2,IF(C277="No","Volcano + heatmap",IF(D277="No","Colleague + heatmap","Colleague + volcano")),IF(C277="Yes","Colleague only",IF(D277="Yes","Volcano only","Heatmap only"))))</x:f>
        <x:v>Colleague only</x:v>
      </x:c>
      <x:c r="H277" s="10" t="str">
        <x:v>Nitrogen, Amino Acid Transport &amp; Metabolism</x:v>
      </x:c>
      <x:c r="I277" s="10" t="str">
        <x:v>Cationic &amp; Neutral Amino Acid Transporters</x:v>
      </x:c>
      <x:c r="J277" s="10" t="str"/>
      <x:c r="K277" s="10" t="str"/>
      <x:c r="L277" s="10" t="str"/>
      <x:c r="M277" s="10" t="str"/>
      <x:c r="N277" s="10" t="str"/>
    </x:row>
    <x:row r="278">
      <x:c r="A278" s="10" t="str">
        <x:v>LOC126295382</x:v>
      </x:c>
      <x:c r="B278" s="10" t="str">
        <x:v>ankyrin repeat and SOCS box protein 2-like</x:v>
      </x:c>
      <x:c r="C278" s="19" t="str">
        <x:f>IF(COUNTIF('Colleague 115'!$A$2:$A$116,A278)&gt;0,"Yes","No")</x:f>
        <x:v>Yes</x:v>
      </x:c>
      <x:c r="D278" s="19" t="str">
        <x:f>IF(COUNTIF('Volcano 402'!$A$2:$A$403,A278)&gt;0,"Yes","No")</x:f>
        <x:v>No</x:v>
      </x:c>
      <x:c r="E278" s="19" t="str">
        <x:f>IF(COUNTIF('Heatmap 169'!$A$2:$A$170,A278)&gt;0,"Yes","No")</x:f>
        <x:v>No</x:v>
      </x:c>
      <x:c r="F278" s="19" t="n">
        <x:f>COUNTIF(C278:E278,"Yes")</x:f>
        <x:v>1</x:v>
      </x:c>
      <x:c r="G278" s="10" t="str">
        <x:f>IF(F278=3,"All three",IF(F278=2,IF(C278="No","Volcano + heatmap",IF(D278="No","Colleague + heatmap","Colleague + volcano")),IF(C278="Yes","Colleague only",IF(D278="Yes","Volcano only","Heatmap only"))))</x:f>
        <x:v>Colleague only</x:v>
      </x:c>
      <x:c r="H278" s="10" t="str">
        <x:v>Innate Immune Recognition &amp; Signaling</x:v>
      </x:c>
      <x:c r="I278" s="10" t="str">
        <x:v>Post-Translational Regulation &amp; Feedback Control</x:v>
      </x:c>
      <x:c r="J278" s="10" t="str"/>
      <x:c r="K278" s="10" t="str"/>
      <x:c r="L278" s="10" t="str"/>
      <x:c r="M278" s="10" t="str"/>
      <x:c r="N278" s="10" t="str"/>
    </x:row>
    <x:row r="279">
      <x:c r="A279" s="10" t="str">
        <x:v>LOC126295407</x:v>
      </x:c>
      <x:c r="B279" s="10" t="str">
        <x:v>heat shock protein 60A</x:v>
      </x:c>
      <x:c r="C279" s="19" t="str">
        <x:f>IF(COUNTIF('Colleague 115'!$A$2:$A$116,A279)&gt;0,"Yes","No")</x:f>
        <x:v>No</x:v>
      </x:c>
      <x:c r="D279" s="19" t="str">
        <x:f>IF(COUNTIF('Volcano 402'!$A$2:$A$403,A279)&gt;0,"Yes","No")</x:f>
        <x:v>Yes</x:v>
      </x:c>
      <x:c r="E279" s="19" t="str">
        <x:f>IF(COUNTIF('Heatmap 169'!$A$2:$A$170,A279)&gt;0,"Yes","No")</x:f>
        <x:v>No</x:v>
      </x:c>
      <x:c r="F279" s="19" t="n">
        <x:f>COUNTIF(C279:E279,"Yes")</x:f>
        <x:v>1</x:v>
      </x:c>
      <x:c r="G279" s="10" t="str">
        <x:f>IF(F279=3,"All three",IF(F279=2,IF(C279="No","Volcano + heatmap",IF(D279="No","Colleague + heatmap","Colleague + volcano")),IF(C279="Yes","Colleague only",IF(D279="Yes","Volcano only","Heatmap only"))))</x:f>
        <x:v>Volcano only</x:v>
      </x:c>
      <x:c r="H279" s="10" t="str"/>
      <x:c r="I279" s="10" t="str"/>
      <x:c r="J279" s="10" t="str">
        <x:v>Detoxification / stress</x:v>
      </x:c>
      <x:c r="K279" s="10" t="str">
        <x:v>infection_diet50; infection_diet83</x:v>
      </x:c>
      <x:c r="L279" s="10" t="str"/>
      <x:c r="M279" s="10" t="str"/>
      <x:c r="N279" s="10" t="str"/>
    </x:row>
    <x:row r="280">
      <x:c r="A280" s="10" t="str">
        <x:v>LOC126295441</x:v>
      </x:c>
      <x:c r="B280" s="10" t="str">
        <x:v>uncharacterized LOC126295441</x:v>
      </x:c>
      <x:c r="C280" s="19" t="str">
        <x:f>IF(COUNTIF('Colleague 115'!$A$2:$A$116,A280)&gt;0,"Yes","No")</x:f>
        <x:v>No</x:v>
      </x:c>
      <x:c r="D280" s="19" t="str">
        <x:f>IF(COUNTIF('Volcano 402'!$A$2:$A$403,A280)&gt;0,"Yes","No")</x:f>
        <x:v>Yes</x:v>
      </x:c>
      <x:c r="E280" s="19" t="str">
        <x:f>IF(COUNTIF('Heatmap 169'!$A$2:$A$170,A280)&gt;0,"Yes","No")</x:f>
        <x:v>No</x:v>
      </x:c>
      <x:c r="F280" s="19" t="n">
        <x:f>COUNTIF(C280:E280,"Yes")</x:f>
        <x:v>1</x:v>
      </x:c>
      <x:c r="G280" s="10" t="str">
        <x:f>IF(F280=3,"All three",IF(F280=2,IF(C280="No","Volcano + heatmap",IF(D280="No","Colleague + heatmap","Colleague + volcano")),IF(C280="Yes","Colleague only",IF(D280="Yes","Volcano only","Heatmap only"))))</x:f>
        <x:v>Volcano only</x:v>
      </x:c>
      <x:c r="H280" s="10" t="str"/>
      <x:c r="I280" s="10" t="str"/>
      <x:c r="J280" s="10" t="str">
        <x:v>Detoxification / stress</x:v>
      </x:c>
      <x:c r="K280" s="10" t="str">
        <x:v>infection_diet33</x:v>
      </x:c>
      <x:c r="L280" s="10" t="str"/>
      <x:c r="M280" s="10" t="str"/>
      <x:c r="N280" s="10" t="str"/>
    </x:row>
    <x:row r="281">
      <x:c r="A281" s="10" t="str">
        <x:v>LOC126295442</x:v>
      </x:c>
      <x:c r="B281" s="10" t="str">
        <x:v>uncharacterized LOC126295442</x:v>
      </x:c>
      <x:c r="C281" s="19" t="str">
        <x:f>IF(COUNTIF('Colleague 115'!$A$2:$A$116,A281)&gt;0,"Yes","No")</x:f>
        <x:v>No</x:v>
      </x:c>
      <x:c r="D281" s="19" t="str">
        <x:f>IF(COUNTIF('Volcano 402'!$A$2:$A$403,A281)&gt;0,"Yes","No")</x:f>
        <x:v>Yes</x:v>
      </x:c>
      <x:c r="E281" s="19" t="str">
        <x:f>IF(COUNTIF('Heatmap 169'!$A$2:$A$170,A281)&gt;0,"Yes","No")</x:f>
        <x:v>No</x:v>
      </x:c>
      <x:c r="F281" s="19" t="n">
        <x:f>COUNTIF(C281:E281,"Yes")</x:f>
        <x:v>1</x:v>
      </x:c>
      <x:c r="G281" s="10" t="str">
        <x:f>IF(F281=3,"All three",IF(F281=2,IF(C281="No","Volcano + heatmap",IF(D281="No","Colleague + heatmap","Colleague + volcano")),IF(C281="Yes","Colleague only",IF(D281="Yes","Volcano only","Heatmap only"))))</x:f>
        <x:v>Volcano only</x:v>
      </x:c>
      <x:c r="H281" s="10" t="str"/>
      <x:c r="I281" s="10" t="str"/>
      <x:c r="J281" s="10" t="str">
        <x:v>Detoxification / stress</x:v>
      </x:c>
      <x:c r="K281" s="10" t="str">
        <x:v>infection_average_all_diets; infection_diet33; infection_diet50; infection_diet83</x:v>
      </x:c>
      <x:c r="L281" s="10" t="str"/>
      <x:c r="M281" s="10" t="str"/>
      <x:c r="N281" s="10" t="str"/>
    </x:row>
    <x:row r="282">
      <x:c r="A282" s="10" t="str">
        <x:v>LOC126295444</x:v>
      </x:c>
      <x:c r="B282" s="10" t="str">
        <x:v>uncharacterized LOC126295444</x:v>
      </x:c>
      <x:c r="C282" s="19" t="str">
        <x:f>IF(COUNTIF('Colleague 115'!$A$2:$A$116,A282)&gt;0,"Yes","No")</x:f>
        <x:v>No</x:v>
      </x:c>
      <x:c r="D282" s="19" t="str">
        <x:f>IF(COUNTIF('Volcano 402'!$A$2:$A$403,A282)&gt;0,"Yes","No")</x:f>
        <x:v>Yes</x:v>
      </x:c>
      <x:c r="E282" s="19" t="str">
        <x:f>IF(COUNTIF('Heatmap 169'!$A$2:$A$170,A282)&gt;0,"Yes","No")</x:f>
        <x:v>No</x:v>
      </x:c>
      <x:c r="F282" s="19" t="n">
        <x:f>COUNTIF(C282:E282,"Yes")</x:f>
        <x:v>1</x:v>
      </x:c>
      <x:c r="G282" s="10" t="str">
        <x:f>IF(F282=3,"All three",IF(F282=2,IF(C282="No","Volcano + heatmap",IF(D282="No","Colleague + heatmap","Colleague + volcano")),IF(C282="Yes","Colleague only",IF(D282="Yes","Volcano only","Heatmap only"))))</x:f>
        <x:v>Volcano only</x:v>
      </x:c>
      <x:c r="H282" s="10" t="str"/>
      <x:c r="I282" s="10" t="str"/>
      <x:c r="J282" s="10" t="str">
        <x:v>Detoxification / stress</x:v>
      </x:c>
      <x:c r="K282" s="10" t="str">
        <x:v>infection_diet33</x:v>
      </x:c>
      <x:c r="L282" s="10" t="str"/>
      <x:c r="M282" s="10" t="str"/>
      <x:c r="N282" s="10" t="str"/>
    </x:row>
    <x:row r="283">
      <x:c r="A283" s="10" t="str">
        <x:v>LOC126297421</x:v>
      </x:c>
      <x:c r="B283" s="10" t="str">
        <x:v>pancreatic triacylglycerol lipase-like</x:v>
      </x:c>
      <x:c r="C283" s="19" t="str">
        <x:f>IF(COUNTIF('Colleague 115'!$A$2:$A$116,A283)&gt;0,"Yes","No")</x:f>
        <x:v>No</x:v>
      </x:c>
      <x:c r="D283" s="19" t="str">
        <x:f>IF(COUNTIF('Volcano 402'!$A$2:$A$403,A283)&gt;0,"Yes","No")</x:f>
        <x:v>Yes</x:v>
      </x:c>
      <x:c r="E283" s="19" t="str">
        <x:f>IF(COUNTIF('Heatmap 169'!$A$2:$A$170,A283)&gt;0,"Yes","No")</x:f>
        <x:v>No</x:v>
      </x:c>
      <x:c r="F283" s="19" t="n">
        <x:f>COUNTIF(C283:E283,"Yes")</x:f>
        <x:v>1</x:v>
      </x:c>
      <x:c r="G283" s="10" t="str">
        <x:f>IF(F283=3,"All three",IF(F283=2,IF(C283="No","Volcano + heatmap",IF(D283="No","Colleague + heatmap","Colleague + volcano")),IF(C283="Yes","Colleague only",IF(D283="Yes","Volcano only","Heatmap only"))))</x:f>
        <x:v>Volcano only</x:v>
      </x:c>
      <x:c r="H283" s="10" t="str"/>
      <x:c r="I283" s="10" t="str"/>
      <x:c r="J283" s="10" t="str">
        <x:v>Lipid synthesis / metabolism</x:v>
      </x:c>
      <x:c r="K283" s="10" t="str">
        <x:v>infection_average_all_diets; infection_diet33; infection_diet50</x:v>
      </x:c>
      <x:c r="L283" s="10" t="str"/>
      <x:c r="M283" s="10" t="str"/>
      <x:c r="N283" s="10" t="str"/>
    </x:row>
    <x:row r="284">
      <x:c r="A284" s="10" t="str">
        <x:v>LOC126297497</x:v>
      </x:c>
      <x:c r="B284" s="10" t="str">
        <x:v>PI-PLC X domain-containing protein 1-like</x:v>
      </x:c>
      <x:c r="C284" s="19" t="str">
        <x:f>IF(COUNTIF('Colleague 115'!$A$2:$A$116,A284)&gt;0,"Yes","No")</x:f>
        <x:v>No</x:v>
      </x:c>
      <x:c r="D284" s="19" t="str">
        <x:f>IF(COUNTIF('Volcano 402'!$A$2:$A$403,A284)&gt;0,"Yes","No")</x:f>
        <x:v>Yes</x:v>
      </x:c>
      <x:c r="E284" s="19" t="str">
        <x:f>IF(COUNTIF('Heatmap 169'!$A$2:$A$170,A284)&gt;0,"Yes","No")</x:f>
        <x:v>No</x:v>
      </x:c>
      <x:c r="F284" s="19" t="n">
        <x:f>COUNTIF(C284:E284,"Yes")</x:f>
        <x:v>1</x:v>
      </x:c>
      <x:c r="G284" s="10" t="str">
        <x:f>IF(F284=3,"All three",IF(F284=2,IF(C284="No","Volcano + heatmap",IF(D284="No","Colleague + heatmap","Colleague + volcano")),IF(C284="Yes","Colleague only",IF(D284="Yes","Volcano only","Heatmap only"))))</x:f>
        <x:v>Volcano only</x:v>
      </x:c>
      <x:c r="H284" s="10" t="str"/>
      <x:c r="I284" s="10" t="str"/>
      <x:c r="J284" s="10" t="str">
        <x:v>Lipid synthesis / metabolism</x:v>
      </x:c>
      <x:c r="K284" s="10" t="str">
        <x:v>infected_diet33_vs50; infection_diet50</x:v>
      </x:c>
      <x:c r="L284" s="10" t="str"/>
      <x:c r="M284" s="10" t="str"/>
      <x:c r="N284" s="10" t="str"/>
    </x:row>
    <x:row r="285">
      <x:c r="A285" s="10" t="str">
        <x:v>LOC126297752</x:v>
      </x:c>
      <x:c r="B285" s="10" t="str">
        <x:v>pancreatic triacylglycerol lipase-like</x:v>
      </x:c>
      <x:c r="C285" s="19" t="str">
        <x:f>IF(COUNTIF('Colleague 115'!$A$2:$A$116,A285)&gt;0,"Yes","No")</x:f>
        <x:v>No</x:v>
      </x:c>
      <x:c r="D285" s="19" t="str">
        <x:f>IF(COUNTIF('Volcano 402'!$A$2:$A$403,A285)&gt;0,"Yes","No")</x:f>
        <x:v>Yes</x:v>
      </x:c>
      <x:c r="E285" s="19" t="str">
        <x:f>IF(COUNTIF('Heatmap 169'!$A$2:$A$170,A285)&gt;0,"Yes","No")</x:f>
        <x:v>No</x:v>
      </x:c>
      <x:c r="F285" s="19" t="n">
        <x:f>COUNTIF(C285:E285,"Yes")</x:f>
        <x:v>1</x:v>
      </x:c>
      <x:c r="G285" s="10" t="str">
        <x:f>IF(F285=3,"All three",IF(F285=2,IF(C285="No","Volcano + heatmap",IF(D285="No","Colleague + heatmap","Colleague + volcano")),IF(C285="Yes","Colleague only",IF(D285="Yes","Volcano only","Heatmap only"))))</x:f>
        <x:v>Volcano only</x:v>
      </x:c>
      <x:c r="H285" s="10" t="str"/>
      <x:c r="I285" s="10" t="str"/>
      <x:c r="J285" s="10" t="str">
        <x:v>Lipid synthesis / metabolism</x:v>
      </x:c>
      <x:c r="K285" s="10" t="str">
        <x:v>infection_diet50</x:v>
      </x:c>
      <x:c r="L285" s="10" t="str"/>
      <x:c r="M285" s="10" t="str"/>
      <x:c r="N285" s="10" t="str"/>
    </x:row>
    <x:row r="286">
      <x:c r="A286" s="10" t="str">
        <x:v>LOC126297832</x:v>
      </x:c>
      <x:c r="B286" s="10" t="str">
        <x:v>intermembrane lipid transfer protein VPS13A-like</x:v>
      </x:c>
      <x:c r="C286" s="19" t="str">
        <x:f>IF(COUNTIF('Colleague 115'!$A$2:$A$116,A286)&gt;0,"Yes","No")</x:f>
        <x:v>No</x:v>
      </x:c>
      <x:c r="D286" s="19" t="str">
        <x:f>IF(COUNTIF('Volcano 402'!$A$2:$A$403,A286)&gt;0,"Yes","No")</x:f>
        <x:v>Yes</x:v>
      </x:c>
      <x:c r="E286" s="19" t="str">
        <x:f>IF(COUNTIF('Heatmap 169'!$A$2:$A$170,A286)&gt;0,"Yes","No")</x:f>
        <x:v>No</x:v>
      </x:c>
      <x:c r="F286" s="19" t="n">
        <x:f>COUNTIF(C286:E286,"Yes")</x:f>
        <x:v>1</x:v>
      </x:c>
      <x:c r="G286" s="10" t="str">
        <x:f>IF(F286=3,"All three",IF(F286=2,IF(C286="No","Volcano + heatmap",IF(D286="No","Colleague + heatmap","Colleague + volcano")),IF(C286="Yes","Colleague only",IF(D286="Yes","Volcano only","Heatmap only"))))</x:f>
        <x:v>Volcano only</x:v>
      </x:c>
      <x:c r="H286" s="10" t="str"/>
      <x:c r="I286" s="10" t="str"/>
      <x:c r="J286" s="10" t="str">
        <x:v>Lipid synthesis / metabolism</x:v>
      </x:c>
      <x:c r="K286" s="10" t="str">
        <x:v>infected_diet33_vs50; infection_diet50</x:v>
      </x:c>
      <x:c r="L286" s="10" t="str"/>
      <x:c r="M286" s="10" t="str"/>
      <x:c r="N286" s="10" t="str"/>
    </x:row>
    <x:row r="287">
      <x:c r="A287" s="10" t="str">
        <x:v>LOC126297886</x:v>
      </x:c>
      <x:c r="B287" s="10" t="str">
        <x:v>uncharacterized LOC126297886</x:v>
      </x:c>
      <x:c r="C287" s="19" t="str">
        <x:f>IF(COUNTIF('Colleague 115'!$A$2:$A$116,A287)&gt;0,"Yes","No")</x:f>
        <x:v>No</x:v>
      </x:c>
      <x:c r="D287" s="19" t="str">
        <x:f>IF(COUNTIF('Volcano 402'!$A$2:$A$403,A287)&gt;0,"Yes","No")</x:f>
        <x:v>Yes</x:v>
      </x:c>
      <x:c r="E287" s="19" t="str">
        <x:f>IF(COUNTIF('Heatmap 169'!$A$2:$A$170,A287)&gt;0,"Yes","No")</x:f>
        <x:v>No</x:v>
      </x:c>
      <x:c r="F287" s="19" t="n">
        <x:f>COUNTIF(C287:E287,"Yes")</x:f>
        <x:v>1</x:v>
      </x:c>
      <x:c r="G287" s="10" t="str">
        <x:f>IF(F287=3,"All three",IF(F287=2,IF(C287="No","Volcano + heatmap",IF(D287="No","Colleague + heatmap","Colleague + volcano")),IF(C287="Yes","Colleague only",IF(D287="Yes","Volcano only","Heatmap only"))))</x:f>
        <x:v>Volcano only</x:v>
      </x:c>
      <x:c r="H287" s="10" t="str"/>
      <x:c r="I287" s="10" t="str"/>
      <x:c r="J287" s="10" t="str">
        <x:v>Lipid synthesis / metabolism</x:v>
      </x:c>
      <x:c r="K287" s="10" t="str">
        <x:v>infected_diet33_vs50; infection_diet50</x:v>
      </x:c>
      <x:c r="L287" s="10" t="str"/>
      <x:c r="M287" s="10" t="str"/>
      <x:c r="N287" s="10" t="str"/>
    </x:row>
    <x:row r="288">
      <x:c r="A288" s="10" t="str">
        <x:v>LOC126297976</x:v>
      </x:c>
      <x:c r="B288" s="10" t="str">
        <x:v>delta(24)-sterol reductase-like</x:v>
      </x:c>
      <x:c r="C288" s="19" t="str">
        <x:f>IF(COUNTIF('Colleague 115'!$A$2:$A$116,A288)&gt;0,"Yes","No")</x:f>
        <x:v>No</x:v>
      </x:c>
      <x:c r="D288" s="19" t="str">
        <x:f>IF(COUNTIF('Volcano 402'!$A$2:$A$403,A288)&gt;0,"Yes","No")</x:f>
        <x:v>Yes</x:v>
      </x:c>
      <x:c r="E288" s="19" t="str">
        <x:f>IF(COUNTIF('Heatmap 169'!$A$2:$A$170,A288)&gt;0,"Yes","No")</x:f>
        <x:v>No</x:v>
      </x:c>
      <x:c r="F288" s="19" t="n">
        <x:f>COUNTIF(C288:E288,"Yes")</x:f>
        <x:v>1</x:v>
      </x:c>
      <x:c r="G288" s="10" t="str">
        <x:f>IF(F288=3,"All three",IF(F288=2,IF(C288="No","Volcano + heatmap",IF(D288="No","Colleague + heatmap","Colleague + volcano")),IF(C288="Yes","Colleague only",IF(D288="Yes","Volcano only","Heatmap only"))))</x:f>
        <x:v>Volcano only</x:v>
      </x:c>
      <x:c r="H288" s="10" t="str"/>
      <x:c r="I288" s="10" t="str"/>
      <x:c r="J288" s="10" t="str">
        <x:v>Lipid synthesis / metabolism</x:v>
      </x:c>
      <x:c r="K288" s="10" t="str">
        <x:v>infection_average_all_diets; infection_diet33; infection_diet50</x:v>
      </x:c>
      <x:c r="L288" s="10" t="str"/>
      <x:c r="M288" s="10" t="str"/>
      <x:c r="N288" s="10" t="str"/>
    </x:row>
    <x:row r="289">
      <x:c r="A289" s="10" t="str">
        <x:v>LOC126298001</x:v>
      </x:c>
      <x:c r="B289" s="10" t="str">
        <x:v>elongation of very long chain fatty acids protein AAEL008004</x:v>
      </x:c>
      <x:c r="C289" s="19" t="str">
        <x:f>IF(COUNTIF('Colleague 115'!$A$2:$A$116,A289)&gt;0,"Yes","No")</x:f>
        <x:v>No</x:v>
      </x:c>
      <x:c r="D289" s="19" t="str">
        <x:f>IF(COUNTIF('Volcano 402'!$A$2:$A$403,A289)&gt;0,"Yes","No")</x:f>
        <x:v>Yes</x:v>
      </x:c>
      <x:c r="E289" s="19" t="str">
        <x:f>IF(COUNTIF('Heatmap 169'!$A$2:$A$170,A289)&gt;0,"Yes","No")</x:f>
        <x:v>No</x:v>
      </x:c>
      <x:c r="F289" s="19" t="n">
        <x:f>COUNTIF(C289:E289,"Yes")</x:f>
        <x:v>1</x:v>
      </x:c>
      <x:c r="G289" s="10" t="str">
        <x:f>IF(F289=3,"All three",IF(F289=2,IF(C289="No","Volcano + heatmap",IF(D289="No","Colleague + heatmap","Colleague + volcano")),IF(C289="Yes","Colleague only",IF(D289="Yes","Volcano only","Heatmap only"))))</x:f>
        <x:v>Volcano only</x:v>
      </x:c>
      <x:c r="H289" s="10" t="str"/>
      <x:c r="I289" s="10" t="str"/>
      <x:c r="J289" s="10" t="str">
        <x:v>Lipid synthesis / metabolism</x:v>
      </x:c>
      <x:c r="K289" s="10" t="str">
        <x:v>infection_average_all_diets; infection_diet50</x:v>
      </x:c>
      <x:c r="L289" s="10" t="str"/>
      <x:c r="M289" s="10" t="str"/>
      <x:c r="N289" s="10" t="str"/>
    </x:row>
    <x:row r="290">
      <x:c r="A290" s="10" t="str">
        <x:v>LOC126298069</x:v>
      </x:c>
      <x:c r="B290" s="10" t="str">
        <x:v>protein eva-1</x:v>
      </x:c>
      <x:c r="C290" s="19" t="str">
        <x:f>IF(COUNTIF('Colleague 115'!$A$2:$A$116,A290)&gt;0,"Yes","No")</x:f>
        <x:v>No</x:v>
      </x:c>
      <x:c r="D290" s="19" t="str">
        <x:f>IF(COUNTIF('Volcano 402'!$A$2:$A$403,A290)&gt;0,"Yes","No")</x:f>
        <x:v>Yes</x:v>
      </x:c>
      <x:c r="E290" s="19" t="str">
        <x:f>IF(COUNTIF('Heatmap 169'!$A$2:$A$170,A290)&gt;0,"Yes","No")</x:f>
        <x:v>No</x:v>
      </x:c>
      <x:c r="F290" s="19" t="n">
        <x:f>COUNTIF(C290:E290,"Yes")</x:f>
        <x:v>1</x:v>
      </x:c>
      <x:c r="G290" s="10" t="str">
        <x:f>IF(F290=3,"All three",IF(F290=2,IF(C290="No","Volcano + heatmap",IF(D290="No","Colleague + heatmap","Colleague + volcano")),IF(C290="Yes","Colleague only",IF(D290="Yes","Volcano only","Heatmap only"))))</x:f>
        <x:v>Volcano only</x:v>
      </x:c>
      <x:c r="H290" s="10" t="str"/>
      <x:c r="I290" s="10" t="str"/>
      <x:c r="J290" s="10" t="str">
        <x:v>Immune-related</x:v>
      </x:c>
      <x:c r="K290" s="10" t="str">
        <x:v>infection_diet50; infection_diet83</x:v>
      </x:c>
      <x:c r="L290" s="10" t="str"/>
      <x:c r="M290" s="10" t="str"/>
      <x:c r="N290" s="10" t="str"/>
    </x:row>
    <x:row r="291">
      <x:c r="A291" s="10" t="str">
        <x:v>LOC126298354</x:v>
      </x:c>
      <x:c r="B291" s="10" t="str">
        <x:v>cytochrome P450 4C1-like</x:v>
      </x:c>
      <x:c r="C291" s="19" t="str">
        <x:f>IF(COUNTIF('Colleague 115'!$A$2:$A$116,A291)&gt;0,"Yes","No")</x:f>
        <x:v>No</x:v>
      </x:c>
      <x:c r="D291" s="19" t="str">
        <x:f>IF(COUNTIF('Volcano 402'!$A$2:$A$403,A291)&gt;0,"Yes","No")</x:f>
        <x:v>Yes</x:v>
      </x:c>
      <x:c r="E291" s="19" t="str">
        <x:f>IF(COUNTIF('Heatmap 169'!$A$2:$A$170,A291)&gt;0,"Yes","No")</x:f>
        <x:v>No</x:v>
      </x:c>
      <x:c r="F291" s="19" t="n">
        <x:f>COUNTIF(C291:E291,"Yes")</x:f>
        <x:v>1</x:v>
      </x:c>
      <x:c r="G291" s="10" t="str">
        <x:f>IF(F291=3,"All three",IF(F291=2,IF(C291="No","Volcano + heatmap",IF(D291="No","Colleague + heatmap","Colleague + volcano")),IF(C291="Yes","Colleague only",IF(D291="Yes","Volcano only","Heatmap only"))))</x:f>
        <x:v>Volcano only</x:v>
      </x:c>
      <x:c r="H291" s="10" t="str"/>
      <x:c r="I291" s="10" t="str"/>
      <x:c r="J291" s="10" t="str">
        <x:v>Detoxification / stress</x:v>
      </x:c>
      <x:c r="K291" s="10" t="str">
        <x:v>infection_average_all_diets; infection_diet50</x:v>
      </x:c>
      <x:c r="L291" s="10" t="str"/>
      <x:c r="M291" s="10" t="str"/>
      <x:c r="N291" s="10" t="str"/>
    </x:row>
    <x:row r="292">
      <x:c r="A292" s="10" t="str">
        <x:v>LOC126298384</x:v>
      </x:c>
      <x:c r="B292" s="10" t="str">
        <x:v>inactive phospholipase C-like protein 1</x:v>
      </x:c>
      <x:c r="C292" s="19" t="str">
        <x:f>IF(COUNTIF('Colleague 115'!$A$2:$A$116,A292)&gt;0,"Yes","No")</x:f>
        <x:v>No</x:v>
      </x:c>
      <x:c r="D292" s="19" t="str">
        <x:f>IF(COUNTIF('Volcano 402'!$A$2:$A$403,A292)&gt;0,"Yes","No")</x:f>
        <x:v>Yes</x:v>
      </x:c>
      <x:c r="E292" s="19" t="str">
        <x:f>IF(COUNTIF('Heatmap 169'!$A$2:$A$170,A292)&gt;0,"Yes","No")</x:f>
        <x:v>No</x:v>
      </x:c>
      <x:c r="F292" s="19" t="n">
        <x:f>COUNTIF(C292:E292,"Yes")</x:f>
        <x:v>1</x:v>
      </x:c>
      <x:c r="G292" s="10" t="str">
        <x:f>IF(F292=3,"All three",IF(F292=2,IF(C292="No","Volcano + heatmap",IF(D292="No","Colleague + heatmap","Colleague + volcano")),IF(C292="Yes","Colleague only",IF(D292="Yes","Volcano only","Heatmap only"))))</x:f>
        <x:v>Volcano only</x:v>
      </x:c>
      <x:c r="H292" s="10" t="str"/>
      <x:c r="I292" s="10" t="str"/>
      <x:c r="J292" s="10" t="str">
        <x:v>Lipid synthesis / metabolism</x:v>
      </x:c>
      <x:c r="K292" s="10" t="str">
        <x:v>infection_diet50</x:v>
      </x:c>
      <x:c r="L292" s="10" t="str"/>
      <x:c r="M292" s="10" t="str"/>
      <x:c r="N292" s="10" t="str"/>
    </x:row>
    <x:row r="293">
      <x:c r="A293" s="10" t="str">
        <x:v>LOC126298412</x:v>
      </x:c>
      <x:c r="B293" s="10" t="str">
        <x:v>uncharacterized LOC126298412</x:v>
      </x:c>
      <x:c r="C293" s="19" t="str">
        <x:f>IF(COUNTIF('Colleague 115'!$A$2:$A$116,A293)&gt;0,"Yes","No")</x:f>
        <x:v>No</x:v>
      </x:c>
      <x:c r="D293" s="19" t="str">
        <x:f>IF(COUNTIF('Volcano 402'!$A$2:$A$403,A293)&gt;0,"Yes","No")</x:f>
        <x:v>Yes</x:v>
      </x:c>
      <x:c r="E293" s="19" t="str">
        <x:f>IF(COUNTIF('Heatmap 169'!$A$2:$A$170,A293)&gt;0,"Yes","No")</x:f>
        <x:v>Yes</x:v>
      </x:c>
      <x:c r="F293" s="19" t="n">
        <x:f>COUNTIF(C293:E293,"Yes")</x:f>
        <x:v>2</x:v>
      </x:c>
      <x:c r="G293" s="10" t="str">
        <x:f>IF(F293=3,"All three",IF(F293=2,IF(C293="No","Volcano + heatmap",IF(D293="No","Colleague + heatmap","Colleague + volcano")),IF(C293="Yes","Colleague only",IF(D293="Yes","Volcano only","Heatmap only"))))</x:f>
        <x:v>Volcano + heatmap</x:v>
      </x:c>
      <x:c r="H293" s="10" t="str"/>
      <x:c r="I293" s="10" t="str"/>
      <x:c r="J293" s="10" t="str">
        <x:v>Lipid synthesis / metabolism</x:v>
      </x:c>
      <x:c r="K293" s="10" t="str">
        <x:v>infection_average_all_diets; infection_diet50</x:v>
      </x:c>
      <x:c r="L293" s="10" t="str">
        <x:v>Functional candidate</x:v>
      </x:c>
      <x:c r="M293" s="10" t="str">
        <x:v>Storage/lipid transport</x:v>
      </x:c>
      <x:c r="N293" s="10" t="str">
        <x:v>DEG</x:v>
      </x:c>
    </x:row>
    <x:row r="294">
      <x:c r="A294" s="10" t="str">
        <x:v>LOC126298490</x:v>
      </x:c>
      <x:c r="B294" s="10" t="str">
        <x:v>dopamine beta-hydroxylase</x:v>
      </x:c>
      <x:c r="C294" s="19" t="str">
        <x:f>IF(COUNTIF('Colleague 115'!$A$2:$A$116,A294)&gt;0,"Yes","No")</x:f>
        <x:v>No</x:v>
      </x:c>
      <x:c r="D294" s="19" t="str">
        <x:f>IF(COUNTIF('Volcano 402'!$A$2:$A$403,A294)&gt;0,"Yes","No")</x:f>
        <x:v>Yes</x:v>
      </x:c>
      <x:c r="E294" s="19" t="str">
        <x:f>IF(COUNTIF('Heatmap 169'!$A$2:$A$170,A294)&gt;0,"Yes","No")</x:f>
        <x:v>No</x:v>
      </x:c>
      <x:c r="F294" s="19" t="n">
        <x:f>COUNTIF(C294:E294,"Yes")</x:f>
        <x:v>1</x:v>
      </x:c>
      <x:c r="G294" s="10" t="str">
        <x:f>IF(F294=3,"All three",IF(F294=2,IF(C294="No","Volcano + heatmap",IF(D294="No","Colleague + heatmap","Colleague + volcano")),IF(C294="Yes","Colleague only",IF(D294="Yes","Volcano only","Heatmap only"))))</x:f>
        <x:v>Volcano only</x:v>
      </x:c>
      <x:c r="H294" s="10" t="str"/>
      <x:c r="I294" s="10" t="str"/>
      <x:c r="J294" s="10" t="str">
        <x:v>Detoxification / stress</x:v>
      </x:c>
      <x:c r="K294" s="10" t="str">
        <x:v>infection_diet50</x:v>
      </x:c>
      <x:c r="L294" s="10" t="str"/>
      <x:c r="M294" s="10" t="str"/>
      <x:c r="N294" s="10" t="str"/>
    </x:row>
    <x:row r="295">
      <x:c r="A295" s="10" t="str">
        <x:v>LOC126298530</x:v>
      </x:c>
      <x:c r="B295" s="10" t="str">
        <x:v>elongation of very long chain fatty acids protein AAEL008004-like</x:v>
      </x:c>
      <x:c r="C295" s="19" t="str">
        <x:f>IF(COUNTIF('Colleague 115'!$A$2:$A$116,A295)&gt;0,"Yes","No")</x:f>
        <x:v>No</x:v>
      </x:c>
      <x:c r="D295" s="19" t="str">
        <x:f>IF(COUNTIF('Volcano 402'!$A$2:$A$403,A295)&gt;0,"Yes","No")</x:f>
        <x:v>Yes</x:v>
      </x:c>
      <x:c r="E295" s="19" t="str">
        <x:f>IF(COUNTIF('Heatmap 169'!$A$2:$A$170,A295)&gt;0,"Yes","No")</x:f>
        <x:v>No</x:v>
      </x:c>
      <x:c r="F295" s="19" t="n">
        <x:f>COUNTIF(C295:E295,"Yes")</x:f>
        <x:v>1</x:v>
      </x:c>
      <x:c r="G295" s="10" t="str">
        <x:f>IF(F295=3,"All three",IF(F295=2,IF(C295="No","Volcano + heatmap",IF(D295="No","Colleague + heatmap","Colleague + volcano")),IF(C295="Yes","Colleague only",IF(D295="Yes","Volcano only","Heatmap only"))))</x:f>
        <x:v>Volcano only</x:v>
      </x:c>
      <x:c r="H295" s="10" t="str"/>
      <x:c r="I295" s="10" t="str"/>
      <x:c r="J295" s="10" t="str">
        <x:v>Lipid synthesis / metabolism</x:v>
      </x:c>
      <x:c r="K295" s="10" t="str">
        <x:v>infection_diet50</x:v>
      </x:c>
      <x:c r="L295" s="10" t="str"/>
      <x:c r="M295" s="10" t="str"/>
      <x:c r="N295" s="10" t="str"/>
    </x:row>
    <x:row r="296">
      <x:c r="A296" s="10" t="str">
        <x:v>LOC126298594</x:v>
      </x:c>
      <x:c r="B296" s="10" t="str">
        <x:v>phospholipase A2 inhibitor beta</x:v>
      </x:c>
      <x:c r="C296" s="19" t="str">
        <x:f>IF(COUNTIF('Colleague 115'!$A$2:$A$116,A296)&gt;0,"Yes","No")</x:f>
        <x:v>No</x:v>
      </x:c>
      <x:c r="D296" s="19" t="str">
        <x:f>IF(COUNTIF('Volcano 402'!$A$2:$A$403,A296)&gt;0,"Yes","No")</x:f>
        <x:v>Yes</x:v>
      </x:c>
      <x:c r="E296" s="19" t="str">
        <x:f>IF(COUNTIF('Heatmap 169'!$A$2:$A$170,A296)&gt;0,"Yes","No")</x:f>
        <x:v>No</x:v>
      </x:c>
      <x:c r="F296" s="19" t="n">
        <x:f>COUNTIF(C296:E296,"Yes")</x:f>
        <x:v>1</x:v>
      </x:c>
      <x:c r="G296" s="10" t="str">
        <x:f>IF(F296=3,"All three",IF(F296=2,IF(C296="No","Volcano + heatmap",IF(D296="No","Colleague + heatmap","Colleague + volcano")),IF(C296="Yes","Colleague only",IF(D296="Yes","Volcano only","Heatmap only"))))</x:f>
        <x:v>Volcano only</x:v>
      </x:c>
      <x:c r="H296" s="10" t="str"/>
      <x:c r="I296" s="10" t="str"/>
      <x:c r="J296" s="10" t="str">
        <x:v>Lipid synthesis / metabolism</x:v>
      </x:c>
      <x:c r="K296" s="10" t="str">
        <x:v>infection_diet50</x:v>
      </x:c>
      <x:c r="L296" s="10" t="str"/>
      <x:c r="M296" s="10" t="str"/>
      <x:c r="N296" s="10" t="str"/>
    </x:row>
    <x:row r="297">
      <x:c r="A297" s="10" t="str">
        <x:v>LOC126298596</x:v>
      </x:c>
      <x:c r="B297" s="10" t="str">
        <x:v>uncharacterized LOC126298596</x:v>
      </x:c>
      <x:c r="C297" s="19" t="str">
        <x:f>IF(COUNTIF('Colleague 115'!$A$2:$A$116,A297)&gt;0,"Yes","No")</x:f>
        <x:v>No</x:v>
      </x:c>
      <x:c r="D297" s="19" t="str">
        <x:f>IF(COUNTIF('Volcano 402'!$A$2:$A$403,A297)&gt;0,"Yes","No")</x:f>
        <x:v>Yes</x:v>
      </x:c>
      <x:c r="E297" s="19" t="str">
        <x:f>IF(COUNTIF('Heatmap 169'!$A$2:$A$170,A297)&gt;0,"Yes","No")</x:f>
        <x:v>No</x:v>
      </x:c>
      <x:c r="F297" s="19" t="n">
        <x:f>COUNTIF(C297:E297,"Yes")</x:f>
        <x:v>1</x:v>
      </x:c>
      <x:c r="G297" s="10" t="str">
        <x:f>IF(F297=3,"All three",IF(F297=2,IF(C297="No","Volcano + heatmap",IF(D297="No","Colleague + heatmap","Colleague + volcano")),IF(C297="Yes","Colleague only",IF(D297="Yes","Volcano only","Heatmap only"))))</x:f>
        <x:v>Volcano only</x:v>
      </x:c>
      <x:c r="H297" s="10" t="str"/>
      <x:c r="I297" s="10" t="str"/>
      <x:c r="J297" s="10" t="str">
        <x:v>Lipid synthesis / metabolism</x:v>
      </x:c>
      <x:c r="K297" s="10" t="str">
        <x:v>infection_average_all_diets; infection_diet33; infection_diet50</x:v>
      </x:c>
      <x:c r="L297" s="10" t="str"/>
      <x:c r="M297" s="10" t="str"/>
      <x:c r="N297" s="10" t="str"/>
    </x:row>
    <x:row r="298">
      <x:c r="A298" s="10" t="str">
        <x:v>LOC126298602</x:v>
      </x:c>
      <x:c r="B298" s="10" t="str">
        <x:v>cocaine esterase</x:v>
      </x:c>
      <x:c r="C298" s="19" t="str">
        <x:f>IF(COUNTIF('Colleague 115'!$A$2:$A$116,A298)&gt;0,"Yes","No")</x:f>
        <x:v>No</x:v>
      </x:c>
      <x:c r="D298" s="19" t="str">
        <x:f>IF(COUNTIF('Volcano 402'!$A$2:$A$403,A298)&gt;0,"Yes","No")</x:f>
        <x:v>Yes</x:v>
      </x:c>
      <x:c r="E298" s="19" t="str">
        <x:f>IF(COUNTIF('Heatmap 169'!$A$2:$A$170,A298)&gt;0,"Yes","No")</x:f>
        <x:v>No</x:v>
      </x:c>
      <x:c r="F298" s="19" t="n">
        <x:f>COUNTIF(C298:E298,"Yes")</x:f>
        <x:v>1</x:v>
      </x:c>
      <x:c r="G298" s="10" t="str">
        <x:f>IF(F298=3,"All three",IF(F298=2,IF(C298="No","Volcano + heatmap",IF(D298="No","Colleague + heatmap","Colleague + volcano")),IF(C298="Yes","Colleague only",IF(D298="Yes","Volcano only","Heatmap only"))))</x:f>
        <x:v>Volcano only</x:v>
      </x:c>
      <x:c r="H298" s="10" t="str"/>
      <x:c r="I298" s="10" t="str"/>
      <x:c r="J298" s="10" t="str">
        <x:v>Detoxification / stress</x:v>
      </x:c>
      <x:c r="K298" s="10" t="str">
        <x:v>infection_diet50</x:v>
      </x:c>
      <x:c r="L298" s="10" t="str"/>
      <x:c r="M298" s="10" t="str"/>
      <x:c r="N298" s="10" t="str"/>
    </x:row>
    <x:row r="299">
      <x:c r="A299" s="10" t="str">
        <x:v>LOC126298679</x:v>
      </x:c>
      <x:c r="B299" s="10" t="str">
        <x:v>b(0,+)-type amino acid transporter 1</x:v>
      </x:c>
      <x:c r="C299" s="19" t="str">
        <x:f>IF(COUNTIF('Colleague 115'!$A$2:$A$116,A299)&gt;0,"Yes","No")</x:f>
        <x:v>Yes</x:v>
      </x:c>
      <x:c r="D299" s="19" t="str">
        <x:f>IF(COUNTIF('Volcano 402'!$A$2:$A$403,A299)&gt;0,"Yes","No")</x:f>
        <x:v>No</x:v>
      </x:c>
      <x:c r="E299" s="19" t="str">
        <x:f>IF(COUNTIF('Heatmap 169'!$A$2:$A$170,A299)&gt;0,"Yes","No")</x:f>
        <x:v>No</x:v>
      </x:c>
      <x:c r="F299" s="19" t="n">
        <x:f>COUNTIF(C299:E299,"Yes")</x:f>
        <x:v>1</x:v>
      </x:c>
      <x:c r="G299" s="10" t="str">
        <x:f>IF(F299=3,"All three",IF(F299=2,IF(C299="No","Volcano + heatmap",IF(D299="No","Colleague + heatmap","Colleague + volcano")),IF(C299="Yes","Colleague only",IF(D299="Yes","Volcano only","Heatmap only"))))</x:f>
        <x:v>Colleague only</x:v>
      </x:c>
      <x:c r="H299" s="10" t="str">
        <x:v>Nitrogen, Amino Acid Transport &amp; Metabolism</x:v>
      </x:c>
      <x:c r="I299" s="10" t="str">
        <x:v>Cationic &amp; Neutral Amino Acid Transporters</x:v>
      </x:c>
      <x:c r="J299" s="10" t="str"/>
      <x:c r="K299" s="10" t="str"/>
      <x:c r="L299" s="10" t="str"/>
      <x:c r="M299" s="10" t="str"/>
      <x:c r="N299" s="10" t="str"/>
    </x:row>
    <x:row r="300">
      <x:c r="A300" s="10" t="str">
        <x:v>LOC126298692</x:v>
      </x:c>
      <x:c r="B300" s="10" t="str">
        <x:v>NADH-ubiquinone oxidoreductase chain 5-like</x:v>
      </x:c>
      <x:c r="C300" s="19" t="str">
        <x:f>IF(COUNTIF('Colleague 115'!$A$2:$A$116,A300)&gt;0,"Yes","No")</x:f>
        <x:v>No</x:v>
      </x:c>
      <x:c r="D300" s="19" t="str">
        <x:f>IF(COUNTIF('Volcano 402'!$A$2:$A$403,A300)&gt;0,"Yes","No")</x:f>
        <x:v>Yes</x:v>
      </x:c>
      <x:c r="E300" s="19" t="str">
        <x:f>IF(COUNTIF('Heatmap 169'!$A$2:$A$170,A300)&gt;0,"Yes","No")</x:f>
        <x:v>No</x:v>
      </x:c>
      <x:c r="F300" s="19" t="n">
        <x:f>COUNTIF(C300:E300,"Yes")</x:f>
        <x:v>1</x:v>
      </x:c>
      <x:c r="G300" s="10" t="str">
        <x:f>IF(F300=3,"All three",IF(F300=2,IF(C300="No","Volcano + heatmap",IF(D300="No","Colleague + heatmap","Colleague + volcano")),IF(C300="Yes","Colleague only",IF(D300="Yes","Volcano only","Heatmap only"))))</x:f>
        <x:v>Volcano only</x:v>
      </x:c>
      <x:c r="H300" s="10" t="str"/>
      <x:c r="I300" s="10" t="str"/>
      <x:c r="J300" s="10" t="str">
        <x:v>Detoxification / stress</x:v>
      </x:c>
      <x:c r="K300" s="10" t="str">
        <x:v>infection_average_all_diets</x:v>
      </x:c>
      <x:c r="L300" s="10" t="str"/>
      <x:c r="M300" s="10" t="str"/>
      <x:c r="N300" s="10" t="str"/>
    </x:row>
    <x:row r="301">
      <x:c r="A301" s="10" t="str">
        <x:v>LOC126298804</x:v>
      </x:c>
      <x:c r="B301" s="10" t="str">
        <x:v>1-phosphatidylinositol 4,5-bisphosphate phosphodiesterase eta-2-like</x:v>
      </x:c>
      <x:c r="C301" s="19" t="str">
        <x:f>IF(COUNTIF('Colleague 115'!$A$2:$A$116,A301)&gt;0,"Yes","No")</x:f>
        <x:v>No</x:v>
      </x:c>
      <x:c r="D301" s="19" t="str">
        <x:f>IF(COUNTIF('Volcano 402'!$A$2:$A$403,A301)&gt;0,"Yes","No")</x:f>
        <x:v>Yes</x:v>
      </x:c>
      <x:c r="E301" s="19" t="str">
        <x:f>IF(COUNTIF('Heatmap 169'!$A$2:$A$170,A301)&gt;0,"Yes","No")</x:f>
        <x:v>No</x:v>
      </x:c>
      <x:c r="F301" s="19" t="n">
        <x:f>COUNTIF(C301:E301,"Yes")</x:f>
        <x:v>1</x:v>
      </x:c>
      <x:c r="G301" s="10" t="str">
        <x:f>IF(F301=3,"All three",IF(F301=2,IF(C301="No","Volcano + heatmap",IF(D301="No","Colleague + heatmap","Colleague + volcano")),IF(C301="Yes","Colleague only",IF(D301="Yes","Volcano only","Heatmap only"))))</x:f>
        <x:v>Volcano only</x:v>
      </x:c>
      <x:c r="H301" s="10" t="str"/>
      <x:c r="I301" s="10" t="str"/>
      <x:c r="J301" s="10" t="str">
        <x:v>Lipid synthesis / metabolism</x:v>
      </x:c>
      <x:c r="K301" s="10" t="str">
        <x:v>infection_average_all_diets; infection_diet33; infection_diet50; infection_diet83</x:v>
      </x:c>
      <x:c r="L301" s="10" t="str"/>
      <x:c r="M301" s="10" t="str"/>
      <x:c r="N301" s="10" t="str"/>
    </x:row>
    <x:row r="302">
      <x:c r="A302" s="10" t="str">
        <x:v>LOC126298901</x:v>
      </x:c>
      <x:c r="B302" s="10" t="str">
        <x:v>uncharacterized LOC126298901</x:v>
      </x:c>
      <x:c r="C302" s="19" t="str">
        <x:f>IF(COUNTIF('Colleague 115'!$A$2:$A$116,A302)&gt;0,"Yes","No")</x:f>
        <x:v>No</x:v>
      </x:c>
      <x:c r="D302" s="19" t="str">
        <x:f>IF(COUNTIF('Volcano 402'!$A$2:$A$403,A302)&gt;0,"Yes","No")</x:f>
        <x:v>Yes</x:v>
      </x:c>
      <x:c r="E302" s="19" t="str">
        <x:f>IF(COUNTIF('Heatmap 169'!$A$2:$A$170,A302)&gt;0,"Yes","No")</x:f>
        <x:v>No</x:v>
      </x:c>
      <x:c r="F302" s="19" t="n">
        <x:f>COUNTIF(C302:E302,"Yes")</x:f>
        <x:v>1</x:v>
      </x:c>
      <x:c r="G302" s="10" t="str">
        <x:f>IF(F302=3,"All three",IF(F302=2,IF(C302="No","Volcano + heatmap",IF(D302="No","Colleague + heatmap","Colleague + volcano")),IF(C302="Yes","Colleague only",IF(D302="Yes","Volcano only","Heatmap only"))))</x:f>
        <x:v>Volcano only</x:v>
      </x:c>
      <x:c r="H302" s="10" t="str"/>
      <x:c r="I302" s="10" t="str"/>
      <x:c r="J302" s="10" t="str">
        <x:v>Immune-related</x:v>
      </x:c>
      <x:c r="K302" s="10" t="str">
        <x:v>infected_diet83_vs33; infected_diet83_vs50; infection_diet50; infection_diet83</x:v>
      </x:c>
      <x:c r="L302" s="10" t="str"/>
      <x:c r="M302" s="10" t="str"/>
      <x:c r="N302" s="10" t="str"/>
    </x:row>
    <x:row r="303">
      <x:c r="A303" s="10" t="str">
        <x:v>LOC126298961</x:v>
      </x:c>
      <x:c r="B303" s="10" t="str">
        <x:v>toll-like receptor Tollo</x:v>
      </x:c>
      <x:c r="C303" s="19" t="str">
        <x:f>IF(COUNTIF('Colleague 115'!$A$2:$A$116,A303)&gt;0,"Yes","No")</x:f>
        <x:v>Yes</x:v>
      </x:c>
      <x:c r="D303" s="19" t="str">
        <x:f>IF(COUNTIF('Volcano 402'!$A$2:$A$403,A303)&gt;0,"Yes","No")</x:f>
        <x:v>Yes</x:v>
      </x:c>
      <x:c r="E303" s="19" t="str">
        <x:f>IF(COUNTIF('Heatmap 169'!$A$2:$A$170,A303)&gt;0,"Yes","No")</x:f>
        <x:v>No</x:v>
      </x:c>
      <x:c r="F303" s="19" t="n">
        <x:f>COUNTIF(C303:E303,"Yes")</x:f>
        <x:v>2</x:v>
      </x:c>
      <x:c r="G303" s="10" t="str">
        <x:f>IF(F303=3,"All three",IF(F303=2,IF(C303="No","Volcano + heatmap",IF(D303="No","Colleague + heatmap","Colleague + volcano")),IF(C303="Yes","Colleague only",IF(D303="Yes","Volcano only","Heatmap only"))))</x:f>
        <x:v>Colleague + volcano</x:v>
      </x:c>
      <x:c r="H303" s="10" t="str">
        <x:v>Innate Immune Recognition &amp; Signaling</x:v>
      </x:c>
      <x:c r="I303" s="10" t="str">
        <x:v>Immune Activation &amp; Sensing (Toll/JAK-STAT/NF-κB)</x:v>
      </x:c>
      <x:c r="J303" s="10" t="str">
        <x:v>Immune-related</x:v>
      </x:c>
      <x:c r="K303" s="10" t="str">
        <x:v>infection_average_all_diets; infection_diet33; infection_diet50</x:v>
      </x:c>
      <x:c r="L303" s="10" t="str"/>
      <x:c r="M303" s="10" t="str"/>
      <x:c r="N303" s="10" t="str"/>
    </x:row>
    <x:row r="304">
      <x:c r="A304" s="10" t="str">
        <x:v>LOC126299150</x:v>
      </x:c>
      <x:c r="B304" s="10" t="str">
        <x:v>ecdysone 20-monooxygenase</x:v>
      </x:c>
      <x:c r="C304" s="19" t="str">
        <x:f>IF(COUNTIF('Colleague 115'!$A$2:$A$116,A304)&gt;0,"Yes","No")</x:f>
        <x:v>No</x:v>
      </x:c>
      <x:c r="D304" s="19" t="str">
        <x:f>IF(COUNTIF('Volcano 402'!$A$2:$A$403,A304)&gt;0,"Yes","No")</x:f>
        <x:v>Yes</x:v>
      </x:c>
      <x:c r="E304" s="19" t="str">
        <x:f>IF(COUNTIF('Heatmap 169'!$A$2:$A$170,A304)&gt;0,"Yes","No")</x:f>
        <x:v>Yes</x:v>
      </x:c>
      <x:c r="F304" s="19" t="n">
        <x:f>COUNTIF(C304:E304,"Yes")</x:f>
        <x:v>2</x:v>
      </x:c>
      <x:c r="G304" s="10" t="str">
        <x:f>IF(F304=3,"All three",IF(F304=2,IF(C304="No","Volcano + heatmap",IF(D304="No","Colleague + heatmap","Colleague + volcano")),IF(C304="Yes","Colleague only",IF(D304="Yes","Volcano only","Heatmap only"))))</x:f>
        <x:v>Volcano + heatmap</x:v>
      </x:c>
      <x:c r="H304" s="10" t="str"/>
      <x:c r="I304" s="10" t="str"/>
      <x:c r="J304" s="10" t="str">
        <x:v>Detoxification / stress</x:v>
      </x:c>
      <x:c r="K304" s="10" t="str">
        <x:v>infection_average_all_diets; infection_diet33; infection_diet50</x:v>
      </x:c>
      <x:c r="L304" s="10" t="str">
        <x:v>Functional candidate</x:v>
      </x:c>
      <x:c r="M304" s="10" t="str">
        <x:v>Detoxification/stress</x:v>
      </x:c>
      <x:c r="N304" s="10" t="str">
        <x:v>DEG</x:v>
      </x:c>
    </x:row>
    <x:row r="305">
      <x:c r="A305" s="10" t="str">
        <x:v>LOC126299171</x:v>
      </x:c>
      <x:c r="B305" s="10" t="str">
        <x:v>It is involved in the biological process described with protein phosphorylation</x:v>
      </x:c>
      <x:c r="C305" s="19" t="str">
        <x:f>IF(COUNTIF('Colleague 115'!$A$2:$A$116,A305)&gt;0,"Yes","No")</x:f>
        <x:v>No</x:v>
      </x:c>
      <x:c r="D305" s="19" t="str">
        <x:f>IF(COUNTIF('Volcano 402'!$A$2:$A$403,A305)&gt;0,"Yes","No")</x:f>
        <x:v>No</x:v>
      </x:c>
      <x:c r="E305" s="19" t="str">
        <x:f>IF(COUNTIF('Heatmap 169'!$A$2:$A$170,A305)&gt;0,"Yes","No")</x:f>
        <x:v>Yes</x:v>
      </x:c>
      <x:c r="F305" s="19" t="n">
        <x:f>COUNTIF(C305:E305,"Yes")</x:f>
        <x:v>1</x:v>
      </x:c>
      <x:c r="G305" s="10" t="str">
        <x:f>IF(F305=3,"All three",IF(F305=2,IF(C305="No","Volcano + heatmap",IF(D305="No","Colleague + heatmap","Colleague + volcano")),IF(C305="Yes","Colleague only",IF(D305="Yes","Volcano only","Heatmap only"))))</x:f>
        <x:v>Heatmap only</x:v>
      </x:c>
      <x:c r="H305" s="10" t="str"/>
      <x:c r="I305" s="10" t="str"/>
      <x:c r="J305" s="10" t="str"/>
      <x:c r="K305" s="10" t="str"/>
      <x:c r="L305" s="10" t="str">
        <x:v>Top DEG</x:v>
      </x:c>
      <x:c r="M305" s="10" t="str">
        <x:v>Other strong DEG</x:v>
      </x:c>
      <x:c r="N305" s="10" t="str">
        <x:v>DEG</x:v>
      </x:c>
    </x:row>
    <x:row r="306">
      <x:c r="A306" s="10" t="str">
        <x:v>LOC126299186</x:v>
      </x:c>
      <x:c r="B306" s="10" t="str">
        <x:v>elongation of very long chain fatty acids protein AAEL008004</x:v>
      </x:c>
      <x:c r="C306" s="19" t="str">
        <x:f>IF(COUNTIF('Colleague 115'!$A$2:$A$116,A306)&gt;0,"Yes","No")</x:f>
        <x:v>No</x:v>
      </x:c>
      <x:c r="D306" s="19" t="str">
        <x:f>IF(COUNTIF('Volcano 402'!$A$2:$A$403,A306)&gt;0,"Yes","No")</x:f>
        <x:v>Yes</x:v>
      </x:c>
      <x:c r="E306" s="19" t="str">
        <x:f>IF(COUNTIF('Heatmap 169'!$A$2:$A$170,A306)&gt;0,"Yes","No")</x:f>
        <x:v>No</x:v>
      </x:c>
      <x:c r="F306" s="19" t="n">
        <x:f>COUNTIF(C306:E306,"Yes")</x:f>
        <x:v>1</x:v>
      </x:c>
      <x:c r="G306" s="10" t="str">
        <x:f>IF(F306=3,"All three",IF(F306=2,IF(C306="No","Volcano + heatmap",IF(D306="No","Colleague + heatmap","Colleague + volcano")),IF(C306="Yes","Colleague only",IF(D306="Yes","Volcano only","Heatmap only"))))</x:f>
        <x:v>Volcano only</x:v>
      </x:c>
      <x:c r="H306" s="10" t="str"/>
      <x:c r="I306" s="10" t="str"/>
      <x:c r="J306" s="10" t="str">
        <x:v>Lipid synthesis / metabolism</x:v>
      </x:c>
      <x:c r="K306" s="10" t="str">
        <x:v>infection_diet50</x:v>
      </x:c>
      <x:c r="L306" s="10" t="str"/>
      <x:c r="M306" s="10" t="str"/>
      <x:c r="N306" s="10" t="str"/>
    </x:row>
    <x:row r="307">
      <x:c r="A307" s="10" t="str">
        <x:v>LOC126299287</x:v>
      </x:c>
      <x:c r="B307" s="10" t="str">
        <x:v>leukocyte elastase inhibitor-like</x:v>
      </x:c>
      <x:c r="C307" s="19" t="str">
        <x:f>IF(COUNTIF('Colleague 115'!$A$2:$A$116,A307)&gt;0,"Yes","No")</x:f>
        <x:v>Yes</x:v>
      </x:c>
      <x:c r="D307" s="19" t="str">
        <x:f>IF(COUNTIF('Volcano 402'!$A$2:$A$403,A307)&gt;0,"Yes","No")</x:f>
        <x:v>Yes</x:v>
      </x:c>
      <x:c r="E307" s="19" t="str">
        <x:f>IF(COUNTIF('Heatmap 169'!$A$2:$A$170,A307)&gt;0,"Yes","No")</x:f>
        <x:v>No</x:v>
      </x:c>
      <x:c r="F307" s="19" t="n">
        <x:f>COUNTIF(C307:E307,"Yes")</x:f>
        <x:v>2</x:v>
      </x:c>
      <x:c r="G307" s="10" t="str">
        <x:f>IF(F307=3,"All three",IF(F307=2,IF(C307="No","Volcano + heatmap",IF(D307="No","Colleague + heatmap","Colleague + volcano")),IF(C307="Yes","Colleague only",IF(D307="Yes","Volcano only","Heatmap only"))))</x:f>
        <x:v>Colleague + volcano</x:v>
      </x:c>
      <x:c r="H307" s="10" t="str">
        <x:v>Innate Immune Recognition &amp; Signaling</x:v>
      </x:c>
      <x:c r="I307" s="10" t="str">
        <x:v>Serine Protease Inhibitors (Serpins)</x:v>
      </x:c>
      <x:c r="J307" s="10" t="str">
        <x:v>Immune-related</x:v>
      </x:c>
      <x:c r="K307" s="10" t="str">
        <x:v>infection_diet50</x:v>
      </x:c>
      <x:c r="L307" s="10" t="str"/>
      <x:c r="M307" s="10" t="str"/>
      <x:c r="N307" s="10" t="str"/>
    </x:row>
    <x:row r="308">
      <x:c r="A308" s="10" t="str">
        <x:v>LOC126299332</x:v>
      </x:c>
      <x:c r="B308" s="10" t="str">
        <x:v>uncharacterized LOC126299332</x:v>
      </x:c>
      <x:c r="C308" s="19" t="str">
        <x:f>IF(COUNTIF('Colleague 115'!$A$2:$A$116,A308)&gt;0,"Yes","No")</x:f>
        <x:v>No</x:v>
      </x:c>
      <x:c r="D308" s="19" t="str">
        <x:f>IF(COUNTIF('Volcano 402'!$A$2:$A$403,A308)&gt;0,"Yes","No")</x:f>
        <x:v>Yes</x:v>
      </x:c>
      <x:c r="E308" s="19" t="str">
        <x:f>IF(COUNTIF('Heatmap 169'!$A$2:$A$170,A308)&gt;0,"Yes","No")</x:f>
        <x:v>Yes</x:v>
      </x:c>
      <x:c r="F308" s="19" t="n">
        <x:f>COUNTIF(C308:E308,"Yes")</x:f>
        <x:v>2</x:v>
      </x:c>
      <x:c r="G308" s="10" t="str">
        <x:f>IF(F308=3,"All three",IF(F308=2,IF(C308="No","Volcano + heatmap",IF(D308="No","Colleague + heatmap","Colleague + volcano")),IF(C308="Yes","Colleague only",IF(D308="Yes","Volcano only","Heatmap only"))))</x:f>
        <x:v>Volcano + heatmap</x:v>
      </x:c>
      <x:c r="H308" s="10" t="str"/>
      <x:c r="I308" s="10" t="str"/>
      <x:c r="J308" s="10" t="str">
        <x:v>Lipid synthesis / metabolism</x:v>
      </x:c>
      <x:c r="K308" s="10" t="str">
        <x:v>infection_average_all_diets; infection_diet33; infection_diet50; infection_diet83</x:v>
      </x:c>
      <x:c r="L308" s="10" t="str">
        <x:v>Functional candidate</x:v>
      </x:c>
      <x:c r="M308" s="10" t="str">
        <x:v>Storage/lipid transport</x:v>
      </x:c>
      <x:c r="N308" s="10" t="str">
        <x:v>DEG</x:v>
      </x:c>
    </x:row>
    <x:row r="309">
      <x:c r="A309" s="10" t="str">
        <x:v>LOC126299372</x:v>
      </x:c>
      <x:c r="B309" s="10" t="str">
        <x:v>PI-PLC X domain-containing protein 1-like</x:v>
      </x:c>
      <x:c r="C309" s="19" t="str">
        <x:f>IF(COUNTIF('Colleague 115'!$A$2:$A$116,A309)&gt;0,"Yes","No")</x:f>
        <x:v>No</x:v>
      </x:c>
      <x:c r="D309" s="19" t="str">
        <x:f>IF(COUNTIF('Volcano 402'!$A$2:$A$403,A309)&gt;0,"Yes","No")</x:f>
        <x:v>Yes</x:v>
      </x:c>
      <x:c r="E309" s="19" t="str">
        <x:f>IF(COUNTIF('Heatmap 169'!$A$2:$A$170,A309)&gt;0,"Yes","No")</x:f>
        <x:v>No</x:v>
      </x:c>
      <x:c r="F309" s="19" t="n">
        <x:f>COUNTIF(C309:E309,"Yes")</x:f>
        <x:v>1</x:v>
      </x:c>
      <x:c r="G309" s="10" t="str">
        <x:f>IF(F309=3,"All three",IF(F309=2,IF(C309="No","Volcano + heatmap",IF(D309="No","Colleague + heatmap","Colleague + volcano")),IF(C309="Yes","Colleague only",IF(D309="Yes","Volcano only","Heatmap only"))))</x:f>
        <x:v>Volcano only</x:v>
      </x:c>
      <x:c r="H309" s="10" t="str"/>
      <x:c r="I309" s="10" t="str"/>
      <x:c r="J309" s="10" t="str">
        <x:v>Lipid synthesis / metabolism</x:v>
      </x:c>
      <x:c r="K309" s="10" t="str">
        <x:v>infected_diet33_vs50; infection_diet50</x:v>
      </x:c>
      <x:c r="L309" s="10" t="str"/>
      <x:c r="M309" s="10" t="str"/>
      <x:c r="N309" s="10" t="str"/>
    </x:row>
    <x:row r="310">
      <x:c r="A310" s="10" t="str">
        <x:v>LOC126299466</x:v>
      </x:c>
      <x:c r="B310" s="10" t="str">
        <x:v>sodium-coupled neutral amino acid transporter 9-like</x:v>
      </x:c>
      <x:c r="C310" s="19" t="str">
        <x:f>IF(COUNTIF('Colleague 115'!$A$2:$A$116,A310)&gt;0,"Yes","No")</x:f>
        <x:v>Yes</x:v>
      </x:c>
      <x:c r="D310" s="19" t="str">
        <x:f>IF(COUNTIF('Volcano 402'!$A$2:$A$403,A310)&gt;0,"Yes","No")</x:f>
        <x:v>No</x:v>
      </x:c>
      <x:c r="E310" s="19" t="str">
        <x:f>IF(COUNTIF('Heatmap 169'!$A$2:$A$170,A310)&gt;0,"Yes","No")</x:f>
        <x:v>No</x:v>
      </x:c>
      <x:c r="F310" s="19" t="n">
        <x:f>COUNTIF(C310:E310,"Yes")</x:f>
        <x:v>1</x:v>
      </x:c>
      <x:c r="G310" s="10" t="str">
        <x:f>IF(F310=3,"All three",IF(F310=2,IF(C310="No","Volcano + heatmap",IF(D310="No","Colleague + heatmap","Colleague + volcano")),IF(C310="Yes","Colleague only",IF(D310="Yes","Volcano only","Heatmap only"))))</x:f>
        <x:v>Colleague only</x:v>
      </x:c>
      <x:c r="H310" s="10" t="str">
        <x:v>Nitrogen, Amino Acid Transport &amp; Metabolism</x:v>
      </x:c>
      <x:c r="I310" s="10" t="str">
        <x:v>Sodium-Dependent Nutrient Transporters</x:v>
      </x:c>
      <x:c r="J310" s="10" t="str"/>
      <x:c r="K310" s="10" t="str"/>
      <x:c r="L310" s="10" t="str"/>
      <x:c r="M310" s="10" t="str"/>
      <x:c r="N310" s="10" t="str"/>
    </x:row>
    <x:row r="311">
      <x:c r="A311" s="10" t="str">
        <x:v>LOC126299533</x:v>
      </x:c>
      <x:c r="B311" s="10" t="str">
        <x:v>nutrient reservoir activity</x:v>
      </x:c>
      <x:c r="C311" s="19" t="str">
        <x:f>IF(COUNTIF('Colleague 115'!$A$2:$A$116,A311)&gt;0,"Yes","No")</x:f>
        <x:v>No</x:v>
      </x:c>
      <x:c r="D311" s="19" t="str">
        <x:f>IF(COUNTIF('Volcano 402'!$A$2:$A$403,A311)&gt;0,"Yes","No")</x:f>
        <x:v>No</x:v>
      </x:c>
      <x:c r="E311" s="19" t="str">
        <x:f>IF(COUNTIF('Heatmap 169'!$A$2:$A$170,A311)&gt;0,"Yes","No")</x:f>
        <x:v>Yes</x:v>
      </x:c>
      <x:c r="F311" s="19" t="n">
        <x:f>COUNTIF(C311:E311,"Yes")</x:f>
        <x:v>1</x:v>
      </x:c>
      <x:c r="G311" s="10" t="str">
        <x:f>IF(F311=3,"All three",IF(F311=2,IF(C311="No","Volcano + heatmap",IF(D311="No","Colleague + heatmap","Colleague + volcano")),IF(C311="Yes","Colleague only",IF(D311="Yes","Volcano only","Heatmap only"))))</x:f>
        <x:v>Heatmap only</x:v>
      </x:c>
      <x:c r="H311" s="10" t="str"/>
      <x:c r="I311" s="10" t="str"/>
      <x:c r="J311" s="10" t="str"/>
      <x:c r="K311" s="10" t="str"/>
      <x:c r="L311" s="10" t="str">
        <x:v>Functional candidate</x:v>
      </x:c>
      <x:c r="M311" s="10" t="str">
        <x:v>Storage/lipid transport</x:v>
      </x:c>
      <x:c r="N311" s="10" t="str">
        <x:v>Not DEG</x:v>
      </x:c>
    </x:row>
    <x:row r="312">
      <x:c r="A312" s="10" t="str">
        <x:v>LOC126299546</x:v>
      </x:c>
      <x:c r="B312" s="10" t="str">
        <x:v>elongation of very long chain fatty acids protein AAEL008004-like</x:v>
      </x:c>
      <x:c r="C312" s="19" t="str">
        <x:f>IF(COUNTIF('Colleague 115'!$A$2:$A$116,A312)&gt;0,"Yes","No")</x:f>
        <x:v>No</x:v>
      </x:c>
      <x:c r="D312" s="19" t="str">
        <x:f>IF(COUNTIF('Volcano 402'!$A$2:$A$403,A312)&gt;0,"Yes","No")</x:f>
        <x:v>Yes</x:v>
      </x:c>
      <x:c r="E312" s="19" t="str">
        <x:f>IF(COUNTIF('Heatmap 169'!$A$2:$A$170,A312)&gt;0,"Yes","No")</x:f>
        <x:v>No</x:v>
      </x:c>
      <x:c r="F312" s="19" t="n">
        <x:f>COUNTIF(C312:E312,"Yes")</x:f>
        <x:v>1</x:v>
      </x:c>
      <x:c r="G312" s="10" t="str">
        <x:f>IF(F312=3,"All three",IF(F312=2,IF(C312="No","Volcano + heatmap",IF(D312="No","Colleague + heatmap","Colleague + volcano")),IF(C312="Yes","Colleague only",IF(D312="Yes","Volcano only","Heatmap only"))))</x:f>
        <x:v>Volcano only</x:v>
      </x:c>
      <x:c r="H312" s="10" t="str"/>
      <x:c r="I312" s="10" t="str"/>
      <x:c r="J312" s="10" t="str">
        <x:v>Lipid synthesis / metabolism</x:v>
      </x:c>
      <x:c r="K312" s="10" t="str">
        <x:v>infection_average_all_diets; infection_diet33; infection_diet83</x:v>
      </x:c>
      <x:c r="L312" s="10" t="str"/>
      <x:c r="M312" s="10" t="str"/>
      <x:c r="N312" s="10" t="str"/>
    </x:row>
    <x:row r="313">
      <x:c r="A313" s="10" t="str">
        <x:v>LOC126299565</x:v>
      </x:c>
      <x:c r="B313" s="10" t="str">
        <x:v>Lipid transporter activity. It is involved in the biological process described with lipid transport</x:v>
      </x:c>
      <x:c r="C313" s="19" t="str">
        <x:f>IF(COUNTIF('Colleague 115'!$A$2:$A$116,A313)&gt;0,"Yes","No")</x:f>
        <x:v>No</x:v>
      </x:c>
      <x:c r="D313" s="19" t="str">
        <x:f>IF(COUNTIF('Volcano 402'!$A$2:$A$403,A313)&gt;0,"Yes","No")</x:f>
        <x:v>No</x:v>
      </x:c>
      <x:c r="E313" s="19" t="str">
        <x:f>IF(COUNTIF('Heatmap 169'!$A$2:$A$170,A313)&gt;0,"Yes","No")</x:f>
        <x:v>Yes</x:v>
      </x:c>
      <x:c r="F313" s="19" t="n">
        <x:f>COUNTIF(C313:E313,"Yes")</x:f>
        <x:v>1</x:v>
      </x:c>
      <x:c r="G313" s="10" t="str">
        <x:f>IF(F313=3,"All three",IF(F313=2,IF(C313="No","Volcano + heatmap",IF(D313="No","Colleague + heatmap","Colleague + volcano")),IF(C313="Yes","Colleague only",IF(D313="Yes","Volcano only","Heatmap only"))))</x:f>
        <x:v>Heatmap only</x:v>
      </x:c>
      <x:c r="H313" s="10" t="str"/>
      <x:c r="I313" s="10" t="str"/>
      <x:c r="J313" s="10" t="str"/>
      <x:c r="K313" s="10" t="str"/>
      <x:c r="L313" s="10" t="str">
        <x:v>Functional candidate</x:v>
      </x:c>
      <x:c r="M313" s="10" t="str">
        <x:v>Storage/lipid transport</x:v>
      </x:c>
      <x:c r="N313" s="10" t="str">
        <x:v>Not DEG</x:v>
      </x:c>
    </x:row>
    <x:row r="314">
      <x:c r="A314" s="10" t="str">
        <x:v>LOC126305900</x:v>
      </x:c>
      <x:c r="B314" s="10" t="str">
        <x:v>cytochrome P450 306a1</x:v>
      </x:c>
      <x:c r="C314" s="19" t="str">
        <x:f>IF(COUNTIF('Colleague 115'!$A$2:$A$116,A314)&gt;0,"Yes","No")</x:f>
        <x:v>No</x:v>
      </x:c>
      <x:c r="D314" s="19" t="str">
        <x:f>IF(COUNTIF('Volcano 402'!$A$2:$A$403,A314)&gt;0,"Yes","No")</x:f>
        <x:v>Yes</x:v>
      </x:c>
      <x:c r="E314" s="19" t="str">
        <x:f>IF(COUNTIF('Heatmap 169'!$A$2:$A$170,A314)&gt;0,"Yes","No")</x:f>
        <x:v>Yes</x:v>
      </x:c>
      <x:c r="F314" s="19" t="n">
        <x:f>COUNTIF(C314:E314,"Yes")</x:f>
        <x:v>2</x:v>
      </x:c>
      <x:c r="G314" s="10" t="str">
        <x:f>IF(F314=3,"All three",IF(F314=2,IF(C314="No","Volcano + heatmap",IF(D314="No","Colleague + heatmap","Colleague + volcano")),IF(C314="Yes","Colleague only",IF(D314="Yes","Volcano only","Heatmap only"))))</x:f>
        <x:v>Volcano + heatmap</x:v>
      </x:c>
      <x:c r="H314" s="10" t="str"/>
      <x:c r="I314" s="10" t="str"/>
      <x:c r="J314" s="10" t="str">
        <x:v>Detoxification / stress</x:v>
      </x:c>
      <x:c r="K314" s="10" t="str">
        <x:v>infection_average_all_diets; infection_diet33; infection_diet50</x:v>
      </x:c>
      <x:c r="L314" s="10" t="str">
        <x:v>Functional candidate</x:v>
      </x:c>
      <x:c r="M314" s="10" t="str">
        <x:v>Detoxification/stress</x:v>
      </x:c>
      <x:c r="N314" s="10" t="str">
        <x:v>DEG</x:v>
      </x:c>
    </x:row>
    <x:row r="315">
      <x:c r="A315" s="10" t="str">
        <x:v>LOC126320178</x:v>
      </x:c>
      <x:c r="B315" s="10" t="str">
        <x:v>cytochrome P450 315a1, mitochondrial</x:v>
      </x:c>
      <x:c r="C315" s="19" t="str">
        <x:f>IF(COUNTIF('Colleague 115'!$A$2:$A$116,A315)&gt;0,"Yes","No")</x:f>
        <x:v>No</x:v>
      </x:c>
      <x:c r="D315" s="19" t="str">
        <x:f>IF(COUNTIF('Volcano 402'!$A$2:$A$403,A315)&gt;0,"Yes","No")</x:f>
        <x:v>Yes</x:v>
      </x:c>
      <x:c r="E315" s="19" t="str">
        <x:f>IF(COUNTIF('Heatmap 169'!$A$2:$A$170,A315)&gt;0,"Yes","No")</x:f>
        <x:v>Yes</x:v>
      </x:c>
      <x:c r="F315" s="19" t="n">
        <x:f>COUNTIF(C315:E315,"Yes")</x:f>
        <x:v>2</x:v>
      </x:c>
      <x:c r="G315" s="10" t="str">
        <x:f>IF(F315=3,"All three",IF(F315=2,IF(C315="No","Volcano + heatmap",IF(D315="No","Colleague + heatmap","Colleague + volcano")),IF(C315="Yes","Colleague only",IF(D315="Yes","Volcano only","Heatmap only"))))</x:f>
        <x:v>Volcano + heatmap</x:v>
      </x:c>
      <x:c r="H315" s="10" t="str"/>
      <x:c r="I315" s="10" t="str"/>
      <x:c r="J315" s="10" t="str">
        <x:v>Detoxification / stress</x:v>
      </x:c>
      <x:c r="K315" s="10" t="str">
        <x:v>infection_diet50</x:v>
      </x:c>
      <x:c r="L315" s="10" t="str">
        <x:v>Functional candidate</x:v>
      </x:c>
      <x:c r="M315" s="10" t="str">
        <x:v>Detoxification/stress</x:v>
      </x:c>
      <x:c r="N315" s="10" t="str">
        <x:v>DEG</x:v>
      </x:c>
    </x:row>
    <x:row r="316">
      <x:c r="A316" s="10" t="str">
        <x:v>LOC126320606</x:v>
      </x:c>
      <x:c r="B316" s="10" t="str">
        <x:v>esterase FE4-like</x:v>
      </x:c>
      <x:c r="C316" s="19" t="str">
        <x:f>IF(COUNTIF('Colleague 115'!$A$2:$A$116,A316)&gt;0,"Yes","No")</x:f>
        <x:v>No</x:v>
      </x:c>
      <x:c r="D316" s="19" t="str">
        <x:f>IF(COUNTIF('Volcano 402'!$A$2:$A$403,A316)&gt;0,"Yes","No")</x:f>
        <x:v>Yes</x:v>
      </x:c>
      <x:c r="E316" s="19" t="str">
        <x:f>IF(COUNTIF('Heatmap 169'!$A$2:$A$170,A316)&gt;0,"Yes","No")</x:f>
        <x:v>No</x:v>
      </x:c>
      <x:c r="F316" s="19" t="n">
        <x:f>COUNTIF(C316:E316,"Yes")</x:f>
        <x:v>1</x:v>
      </x:c>
      <x:c r="G316" s="10" t="str">
        <x:f>IF(F316=3,"All three",IF(F316=2,IF(C316="No","Volcano + heatmap",IF(D316="No","Colleague + heatmap","Colleague + volcano")),IF(C316="Yes","Colleague only",IF(D316="Yes","Volcano only","Heatmap only"))))</x:f>
        <x:v>Volcano only</x:v>
      </x:c>
      <x:c r="H316" s="10" t="str"/>
      <x:c r="I316" s="10" t="str"/>
      <x:c r="J316" s="10" t="str">
        <x:v>Lipid synthesis / metabolism</x:v>
      </x:c>
      <x:c r="K316" s="10" t="str">
        <x:v>infection_average_all_diets; infection_diet50</x:v>
      </x:c>
      <x:c r="L316" s="10" t="str"/>
      <x:c r="M316" s="10" t="str"/>
      <x:c r="N316" s="10" t="str"/>
    </x:row>
    <x:row r="317">
      <x:c r="A317" s="10" t="str">
        <x:v>LOC126320713</x:v>
      </x:c>
      <x:c r="B317" s="10" t="str">
        <x:v>esterase FE4-like</x:v>
      </x:c>
      <x:c r="C317" s="19" t="str">
        <x:f>IF(COUNTIF('Colleague 115'!$A$2:$A$116,A317)&gt;0,"Yes","No")</x:f>
        <x:v>No</x:v>
      </x:c>
      <x:c r="D317" s="19" t="str">
        <x:f>IF(COUNTIF('Volcano 402'!$A$2:$A$403,A317)&gt;0,"Yes","No")</x:f>
        <x:v>Yes</x:v>
      </x:c>
      <x:c r="E317" s="19" t="str">
        <x:f>IF(COUNTIF('Heatmap 169'!$A$2:$A$170,A317)&gt;0,"Yes","No")</x:f>
        <x:v>No</x:v>
      </x:c>
      <x:c r="F317" s="19" t="n">
        <x:f>COUNTIF(C317:E317,"Yes")</x:f>
        <x:v>1</x:v>
      </x:c>
      <x:c r="G317" s="10" t="str">
        <x:f>IF(F317=3,"All three",IF(F317=2,IF(C317="No","Volcano + heatmap",IF(D317="No","Colleague + heatmap","Colleague + volcano")),IF(C317="Yes","Colleague only",IF(D317="Yes","Volcano only","Heatmap only"))))</x:f>
        <x:v>Volcano only</x:v>
      </x:c>
      <x:c r="H317" s="10" t="str"/>
      <x:c r="I317" s="10" t="str"/>
      <x:c r="J317" s="10" t="str">
        <x:v>Lipid synthesis / metabolism</x:v>
      </x:c>
      <x:c r="K317" s="10" t="str">
        <x:v>infection_diet50</x:v>
      </x:c>
      <x:c r="L317" s="10" t="str"/>
      <x:c r="M317" s="10" t="str"/>
      <x:c r="N317" s="10" t="str"/>
    </x:row>
    <x:row r="318">
      <x:c r="A318" s="10" t="str">
        <x:v>LOC126320847</x:v>
      </x:c>
      <x:c r="B318" s="10" t="str">
        <x:v>cholinesterase 1-like</x:v>
      </x:c>
      <x:c r="C318" s="19" t="str">
        <x:f>IF(COUNTIF('Colleague 115'!$A$2:$A$116,A318)&gt;0,"Yes","No")</x:f>
        <x:v>No</x:v>
      </x:c>
      <x:c r="D318" s="19" t="str">
        <x:f>IF(COUNTIF('Volcano 402'!$A$2:$A$403,A318)&gt;0,"Yes","No")</x:f>
        <x:v>Yes</x:v>
      </x:c>
      <x:c r="E318" s="19" t="str">
        <x:f>IF(COUNTIF('Heatmap 169'!$A$2:$A$170,A318)&gt;0,"Yes","No")</x:f>
        <x:v>No</x:v>
      </x:c>
      <x:c r="F318" s="19" t="n">
        <x:f>COUNTIF(C318:E318,"Yes")</x:f>
        <x:v>1</x:v>
      </x:c>
      <x:c r="G318" s="10" t="str">
        <x:f>IF(F318=3,"All three",IF(F318=2,IF(C318="No","Volcano + heatmap",IF(D318="No","Colleague + heatmap","Colleague + volcano")),IF(C318="Yes","Colleague only",IF(D318="Yes","Volcano only","Heatmap only"))))</x:f>
        <x:v>Volcano only</x:v>
      </x:c>
      <x:c r="H318" s="10" t="str"/>
      <x:c r="I318" s="10" t="str"/>
      <x:c r="J318" s="10" t="str">
        <x:v>Lipid synthesis / metabolism</x:v>
      </x:c>
      <x:c r="K318" s="10" t="str">
        <x:v>infection_diet83</x:v>
      </x:c>
      <x:c r="L318" s="10" t="str"/>
      <x:c r="M318" s="10" t="str"/>
      <x:c r="N318" s="10" t="str"/>
    </x:row>
    <x:row r="319">
      <x:c r="A319" s="10" t="str">
        <x:v>LOC126322655</x:v>
      </x:c>
      <x:c r="B319" s="10" t="str">
        <x:v>Belongs to the inositol phosphokinase (IPK) family</x:v>
      </x:c>
      <x:c r="C319" s="19" t="str">
        <x:f>IF(COUNTIF('Colleague 115'!$A$2:$A$116,A319)&gt;0,"Yes","No")</x:f>
        <x:v>No</x:v>
      </x:c>
      <x:c r="D319" s="19" t="str">
        <x:f>IF(COUNTIF('Volcano 402'!$A$2:$A$403,A319)&gt;0,"Yes","No")</x:f>
        <x:v>No</x:v>
      </x:c>
      <x:c r="E319" s="19" t="str">
        <x:f>IF(COUNTIF('Heatmap 169'!$A$2:$A$170,A319)&gt;0,"Yes","No")</x:f>
        <x:v>Yes</x:v>
      </x:c>
      <x:c r="F319" s="19" t="n">
        <x:f>COUNTIF(C319:E319,"Yes")</x:f>
        <x:v>1</x:v>
      </x:c>
      <x:c r="G319" s="10" t="str">
        <x:f>IF(F319=3,"All three",IF(F319=2,IF(C319="No","Volcano + heatmap",IF(D319="No","Colleague + heatmap","Colleague + volcano")),IF(C319="Yes","Colleague only",IF(D319="Yes","Volcano only","Heatmap only"))))</x:f>
        <x:v>Heatmap only</x:v>
      </x:c>
      <x:c r="H319" s="10" t="str"/>
      <x:c r="I319" s="10" t="str"/>
      <x:c r="J319" s="10" t="str"/>
      <x:c r="K319" s="10" t="str"/>
      <x:c r="L319" s="10" t="str">
        <x:v>Top DEG</x:v>
      </x:c>
      <x:c r="M319" s="10" t="str">
        <x:v>Other strong DEG</x:v>
      </x:c>
      <x:c r="N319" s="10" t="str">
        <x:v>DEG</x:v>
      </x:c>
    </x:row>
    <x:row r="320">
      <x:c r="A320" s="10" t="str">
        <x:v>LOC126322854</x:v>
      </x:c>
      <x:c r="B320" s="10" t="str">
        <x:v>invertebrate-type lysozyme 3-like</x:v>
      </x:c>
      <x:c r="C320" s="19" t="str">
        <x:f>IF(COUNTIF('Colleague 115'!$A$2:$A$116,A320)&gt;0,"Yes","No")</x:f>
        <x:v>Yes</x:v>
      </x:c>
      <x:c r="D320" s="19" t="str">
        <x:f>IF(COUNTIF('Volcano 402'!$A$2:$A$403,A320)&gt;0,"Yes","No")</x:f>
        <x:v>Yes</x:v>
      </x:c>
      <x:c r="E320" s="19" t="str">
        <x:f>IF(COUNTIF('Heatmap 169'!$A$2:$A$170,A320)&gt;0,"Yes","No")</x:f>
        <x:v>No</x:v>
      </x:c>
      <x:c r="F320" s="19" t="n">
        <x:f>COUNTIF(C320:E320,"Yes")</x:f>
        <x:v>2</x:v>
      </x:c>
      <x:c r="G320" s="10" t="str">
        <x:f>IF(F320=3,"All three",IF(F320=2,IF(C320="No","Volcano + heatmap",IF(D320="No","Colleague + heatmap","Colleague + volcano")),IF(C320="Yes","Colleague only",IF(D320="Yes","Volcano only","Heatmap only"))))</x:f>
        <x:v>Colleague + volcano</x:v>
      </x:c>
      <x:c r="H320" s="10" t="str">
        <x:v>Humoral Immunity</x:v>
      </x:c>
      <x:c r="I320" s="10" t="str">
        <x:v>Antimicrobial Peptides (AMPs)</x:v>
      </x:c>
      <x:c r="J320" s="10" t="str">
        <x:v>Antimicrobial peptides</x:v>
      </x:c>
      <x:c r="K320" s="10" t="str">
        <x:v>infection_average_all_diets; infection_diet50</x:v>
      </x:c>
      <x:c r="L320" s="10" t="str"/>
      <x:c r="M320" s="10" t="str"/>
      <x:c r="N320" s="10" t="str"/>
    </x:row>
    <x:row r="321">
      <x:c r="A321" s="10" t="str">
        <x:v>LOC126322960</x:v>
      </x:c>
      <x:c r="B321" s="10" t="str">
        <x:v>lysozyme-like</x:v>
      </x:c>
      <x:c r="C321" s="19" t="str">
        <x:f>IF(COUNTIF('Colleague 115'!$A$2:$A$116,A321)&gt;0,"Yes","No")</x:f>
        <x:v>No</x:v>
      </x:c>
      <x:c r="D321" s="19" t="str">
        <x:f>IF(COUNTIF('Volcano 402'!$A$2:$A$403,A321)&gt;0,"Yes","No")</x:f>
        <x:v>Yes</x:v>
      </x:c>
      <x:c r="E321" s="19" t="str">
        <x:f>IF(COUNTIF('Heatmap 169'!$A$2:$A$170,A321)&gt;0,"Yes","No")</x:f>
        <x:v>No</x:v>
      </x:c>
      <x:c r="F321" s="19" t="n">
        <x:f>COUNTIF(C321:E321,"Yes")</x:f>
        <x:v>1</x:v>
      </x:c>
      <x:c r="G321" s="10" t="str">
        <x:f>IF(F321=3,"All three",IF(F321=2,IF(C321="No","Volcano + heatmap",IF(D321="No","Colleague + heatmap","Colleague + volcano")),IF(C321="Yes","Colleague only",IF(D321="Yes","Volcano only","Heatmap only"))))</x:f>
        <x:v>Volcano only</x:v>
      </x:c>
      <x:c r="H321" s="10" t="str"/>
      <x:c r="I321" s="10" t="str"/>
      <x:c r="J321" s="10" t="str">
        <x:v>Antimicrobial peptides</x:v>
      </x:c>
      <x:c r="K321" s="10" t="str">
        <x:v>infection_diet50</x:v>
      </x:c>
      <x:c r="L321" s="10" t="str"/>
      <x:c r="M321" s="10" t="str"/>
      <x:c r="N321" s="10" t="str"/>
    </x:row>
    <x:row r="322">
      <x:c r="A322" s="10" t="str">
        <x:v>LOC126323134</x:v>
      </x:c>
      <x:c r="B322" s="10" t="str">
        <x:v>uncharacterized LOC126323134</x:v>
      </x:c>
      <x:c r="C322" s="19" t="str">
        <x:f>IF(COUNTIF('Colleague 115'!$A$2:$A$116,A322)&gt;0,"Yes","No")</x:f>
        <x:v>No</x:v>
      </x:c>
      <x:c r="D322" s="19" t="str">
        <x:f>IF(COUNTIF('Volcano 402'!$A$2:$A$403,A322)&gt;0,"Yes","No")</x:f>
        <x:v>Yes</x:v>
      </x:c>
      <x:c r="E322" s="19" t="str">
        <x:f>IF(COUNTIF('Heatmap 169'!$A$2:$A$170,A322)&gt;0,"Yes","No")</x:f>
        <x:v>No</x:v>
      </x:c>
      <x:c r="F322" s="19" t="n">
        <x:f>COUNTIF(C322:E322,"Yes")</x:f>
        <x:v>1</x:v>
      </x:c>
      <x:c r="G322" s="10" t="str">
        <x:f>IF(F322=3,"All three",IF(F322=2,IF(C322="No","Volcano + heatmap",IF(D322="No","Colleague + heatmap","Colleague + volcano")),IF(C322="Yes","Colleague only",IF(D322="Yes","Volcano only","Heatmap only"))))</x:f>
        <x:v>Volcano only</x:v>
      </x:c>
      <x:c r="H322" s="10" t="str"/>
      <x:c r="I322" s="10" t="str"/>
      <x:c r="J322" s="10" t="str">
        <x:v>Antimicrobial peptides</x:v>
      </x:c>
      <x:c r="K322" s="10" t="str">
        <x:v>infection_average_all_diets; infection_diet33; infection_diet83</x:v>
      </x:c>
      <x:c r="L322" s="10" t="str"/>
      <x:c r="M322" s="10" t="str"/>
      <x:c r="N322" s="10" t="str"/>
    </x:row>
    <x:row r="323">
      <x:c r="A323" s="10" t="str">
        <x:v>LOC126323151</x:v>
      </x:c>
      <x:c r="B323" s="10" t="str">
        <x:v>uncharacterized LOC126323151</x:v>
      </x:c>
      <x:c r="C323" s="19" t="str">
        <x:f>IF(COUNTIF('Colleague 115'!$A$2:$A$116,A323)&gt;0,"Yes","No")</x:f>
        <x:v>No</x:v>
      </x:c>
      <x:c r="D323" s="19" t="str">
        <x:f>IF(COUNTIF('Volcano 402'!$A$2:$A$403,A323)&gt;0,"Yes","No")</x:f>
        <x:v>Yes</x:v>
      </x:c>
      <x:c r="E323" s="19" t="str">
        <x:f>IF(COUNTIF('Heatmap 169'!$A$2:$A$170,A323)&gt;0,"Yes","No")</x:f>
        <x:v>No</x:v>
      </x:c>
      <x:c r="F323" s="19" t="n">
        <x:f>COUNTIF(C323:E323,"Yes")</x:f>
        <x:v>1</x:v>
      </x:c>
      <x:c r="G323" s="10" t="str">
        <x:f>IF(F323=3,"All three",IF(F323=2,IF(C323="No","Volcano + heatmap",IF(D323="No","Colleague + heatmap","Colleague + volcano")),IF(C323="Yes","Colleague only",IF(D323="Yes","Volcano only","Heatmap only"))))</x:f>
        <x:v>Volcano only</x:v>
      </x:c>
      <x:c r="H323" s="10" t="str"/>
      <x:c r="I323" s="10" t="str"/>
      <x:c r="J323" s="10" t="str">
        <x:v>Antimicrobial peptides</x:v>
      </x:c>
      <x:c r="K323" s="10" t="str">
        <x:v>control_diet83_vs50; infection_average_all_diets; infection_diet83</x:v>
      </x:c>
      <x:c r="L323" s="10" t="str"/>
      <x:c r="M323" s="10" t="str"/>
      <x:c r="N323" s="10" t="str"/>
    </x:row>
    <x:row r="324">
      <x:c r="A324" s="10" t="str">
        <x:v>LOC126323167</x:v>
      </x:c>
      <x:c r="B324" s="10" t="str">
        <x:v>uncharacterized LOC126323167</x:v>
      </x:c>
      <x:c r="C324" s="19" t="str">
        <x:f>IF(COUNTIF('Colleague 115'!$A$2:$A$116,A324)&gt;0,"Yes","No")</x:f>
        <x:v>No</x:v>
      </x:c>
      <x:c r="D324" s="19" t="str">
        <x:f>IF(COUNTIF('Volcano 402'!$A$2:$A$403,A324)&gt;0,"Yes","No")</x:f>
        <x:v>Yes</x:v>
      </x:c>
      <x:c r="E324" s="19" t="str">
        <x:f>IF(COUNTIF('Heatmap 169'!$A$2:$A$170,A324)&gt;0,"Yes","No")</x:f>
        <x:v>No</x:v>
      </x:c>
      <x:c r="F324" s="19" t="n">
        <x:f>COUNTIF(C324:E324,"Yes")</x:f>
        <x:v>1</x:v>
      </x:c>
      <x:c r="G324" s="10" t="str">
        <x:f>IF(F324=3,"All three",IF(F324=2,IF(C324="No","Volcano + heatmap",IF(D324="No","Colleague + heatmap","Colleague + volcano")),IF(C324="Yes","Colleague only",IF(D324="Yes","Volcano only","Heatmap only"))))</x:f>
        <x:v>Volcano only</x:v>
      </x:c>
      <x:c r="H324" s="10" t="str"/>
      <x:c r="I324" s="10" t="str"/>
      <x:c r="J324" s="10" t="str">
        <x:v>Antimicrobial peptides</x:v>
      </x:c>
      <x:c r="K324" s="10" t="str">
        <x:v>infection_average_all_diets; infection_diet50; infection_diet83</x:v>
      </x:c>
      <x:c r="L324" s="10" t="str"/>
      <x:c r="M324" s="10" t="str"/>
      <x:c r="N324" s="10" t="str"/>
    </x:row>
    <x:row r="325">
      <x:c r="A325" s="10" t="str">
        <x:v>LOC126323183</x:v>
      </x:c>
      <x:c r="B325" s="10" t="str">
        <x:v>uncharacterized LOC126323183</x:v>
      </x:c>
      <x:c r="C325" s="19" t="str">
        <x:f>IF(COUNTIF('Colleague 115'!$A$2:$A$116,A325)&gt;0,"Yes","No")</x:f>
        <x:v>No</x:v>
      </x:c>
      <x:c r="D325" s="19" t="str">
        <x:f>IF(COUNTIF('Volcano 402'!$A$2:$A$403,A325)&gt;0,"Yes","No")</x:f>
        <x:v>Yes</x:v>
      </x:c>
      <x:c r="E325" s="19" t="str">
        <x:f>IF(COUNTIF('Heatmap 169'!$A$2:$A$170,A325)&gt;0,"Yes","No")</x:f>
        <x:v>No</x:v>
      </x:c>
      <x:c r="F325" s="19" t="n">
        <x:f>COUNTIF(C325:E325,"Yes")</x:f>
        <x:v>1</x:v>
      </x:c>
      <x:c r="G325" s="10" t="str">
        <x:f>IF(F325=3,"All three",IF(F325=2,IF(C325="No","Volcano + heatmap",IF(D325="No","Colleague + heatmap","Colleague + volcano")),IF(C325="Yes","Colleague only",IF(D325="Yes","Volcano only","Heatmap only"))))</x:f>
        <x:v>Volcano only</x:v>
      </x:c>
      <x:c r="H325" s="10" t="str"/>
      <x:c r="I325" s="10" t="str"/>
      <x:c r="J325" s="10" t="str">
        <x:v>Antimicrobial peptides</x:v>
      </x:c>
      <x:c r="K325" s="10" t="str">
        <x:v>infection_average_all_diets; infection_diet33; infection_diet83</x:v>
      </x:c>
      <x:c r="L325" s="10" t="str"/>
      <x:c r="M325" s="10" t="str"/>
      <x:c r="N325" s="10" t="str"/>
    </x:row>
    <x:row r="326">
      <x:c r="A326" s="10" t="str">
        <x:v>LOC126323656</x:v>
      </x:c>
      <x:c r="B326" s="10" t="str">
        <x:v>pancreatic triacylglycerol lipase-like</x:v>
      </x:c>
      <x:c r="C326" s="19" t="str">
        <x:f>IF(COUNTIF('Colleague 115'!$A$2:$A$116,A326)&gt;0,"Yes","No")</x:f>
        <x:v>No</x:v>
      </x:c>
      <x:c r="D326" s="19" t="str">
        <x:f>IF(COUNTIF('Volcano 402'!$A$2:$A$403,A326)&gt;0,"Yes","No")</x:f>
        <x:v>Yes</x:v>
      </x:c>
      <x:c r="E326" s="19" t="str">
        <x:f>IF(COUNTIF('Heatmap 169'!$A$2:$A$170,A326)&gt;0,"Yes","No")</x:f>
        <x:v>No</x:v>
      </x:c>
      <x:c r="F326" s="19" t="n">
        <x:f>COUNTIF(C326:E326,"Yes")</x:f>
        <x:v>1</x:v>
      </x:c>
      <x:c r="G326" s="10" t="str">
        <x:f>IF(F326=3,"All three",IF(F326=2,IF(C326="No","Volcano + heatmap",IF(D326="No","Colleague + heatmap","Colleague + volcano")),IF(C326="Yes","Colleague only",IF(D326="Yes","Volcano only","Heatmap only"))))</x:f>
        <x:v>Volcano only</x:v>
      </x:c>
      <x:c r="H326" s="10" t="str"/>
      <x:c r="I326" s="10" t="str"/>
      <x:c r="J326" s="10" t="str">
        <x:v>Lipid synthesis / metabolism</x:v>
      </x:c>
      <x:c r="K326" s="10" t="str">
        <x:v>infection_average_all_diets; infection_diet83</x:v>
      </x:c>
      <x:c r="L326" s="10" t="str"/>
      <x:c r="M326" s="10" t="str"/>
      <x:c r="N326" s="10" t="str"/>
    </x:row>
    <x:row r="327">
      <x:c r="A327" s="10" t="str">
        <x:v>LOC126324735</x:v>
      </x:c>
      <x:c r="B327" s="10" t="str">
        <x:v>Tubulin is the major constituent of microtubules. It binds two moles of GTP, one at an exchangeable site on the beta chain and one at a non-exchangeable site on the alpha chain</x:v>
      </x:c>
      <x:c r="C327" s="19" t="str">
        <x:f>IF(COUNTIF('Colleague 115'!$A$2:$A$116,A327)&gt;0,"Yes","No")</x:f>
        <x:v>No</x:v>
      </x:c>
      <x:c r="D327" s="19" t="str">
        <x:f>IF(COUNTIF('Volcano 402'!$A$2:$A$403,A327)&gt;0,"Yes","No")</x:f>
        <x:v>No</x:v>
      </x:c>
      <x:c r="E327" s="19" t="str">
        <x:f>IF(COUNTIF('Heatmap 169'!$A$2:$A$170,A327)&gt;0,"Yes","No")</x:f>
        <x:v>Yes</x:v>
      </x:c>
      <x:c r="F327" s="19" t="n">
        <x:f>COUNTIF(C327:E327,"Yes")</x:f>
        <x:v>1</x:v>
      </x:c>
      <x:c r="G327" s="10" t="str">
        <x:f>IF(F327=3,"All three",IF(F327=2,IF(C327="No","Volcano + heatmap",IF(D327="No","Colleague + heatmap","Colleague + volcano")),IF(C327="Yes","Colleague only",IF(D327="Yes","Volcano only","Heatmap only"))))</x:f>
        <x:v>Heatmap only</x:v>
      </x:c>
      <x:c r="H327" s="10" t="str"/>
      <x:c r="I327" s="10" t="str"/>
      <x:c r="J327" s="10" t="str"/>
      <x:c r="K327" s="10" t="str"/>
      <x:c r="L327" s="10" t="str">
        <x:v>Top DEG</x:v>
      </x:c>
      <x:c r="M327" s="10" t="str">
        <x:v>Other strong DEG</x:v>
      </x:c>
      <x:c r="N327" s="10" t="str">
        <x:v>DEG</x:v>
      </x:c>
    </x:row>
    <x:row r="328">
      <x:c r="A328" s="10" t="str">
        <x:v>LOC126325205</x:v>
      </x:c>
      <x:c r="B328" s="10" t="str">
        <x:v>toll-like receptor 4</x:v>
      </x:c>
      <x:c r="C328" s="19" t="str">
        <x:f>IF(COUNTIF('Colleague 115'!$A$2:$A$116,A328)&gt;0,"Yes","No")</x:f>
        <x:v>Yes</x:v>
      </x:c>
      <x:c r="D328" s="19" t="str">
        <x:f>IF(COUNTIF('Volcano 402'!$A$2:$A$403,A328)&gt;0,"Yes","No")</x:f>
        <x:v>Yes</x:v>
      </x:c>
      <x:c r="E328" s="19" t="str">
        <x:f>IF(COUNTIF('Heatmap 169'!$A$2:$A$170,A328)&gt;0,"Yes","No")</x:f>
        <x:v>Yes</x:v>
      </x:c>
      <x:c r="F328" s="19" t="n">
        <x:f>COUNTIF(C328:E328,"Yes")</x:f>
        <x:v>3</x:v>
      </x:c>
      <x:c r="G328" s="10" t="str">
        <x:f>IF(F328=3,"All three",IF(F328=2,IF(C328="No","Volcano + heatmap",IF(D328="No","Colleague + heatmap","Colleague + volcano")),IF(C328="Yes","Colleague only",IF(D328="Yes","Volcano only","Heatmap only"))))</x:f>
        <x:v>All three</x:v>
      </x:c>
      <x:c r="H328" s="10" t="str">
        <x:v>Innate Immune Recognition &amp; Signaling</x:v>
      </x:c>
      <x:c r="I328" s="10" t="str">
        <x:v>Immune Activation &amp; Sensing (Toll/JAK-STAT/NF-κB)</x:v>
      </x:c>
      <x:c r="J328" s="10" t="str">
        <x:v>Immune-related</x:v>
      </x:c>
      <x:c r="K328" s="10" t="str">
        <x:v>infection_average_all_diets; infection_diet33; infection_diet50; infection_diet83</x:v>
      </x:c>
      <x:c r="L328" s="10" t="str">
        <x:v>Top DEG</x:v>
      </x:c>
      <x:c r="M328" s="10" t="str">
        <x:v>Other strong DEG</x:v>
      </x:c>
      <x:c r="N328" s="10" t="str">
        <x:v>DEG</x:v>
      </x:c>
    </x:row>
    <x:row r="329">
      <x:c r="A329" s="10" t="str">
        <x:v>LOC126325232</x:v>
      </x:c>
      <x:c r="B329" s="10" t="str">
        <x:v>toll-like receptor 2</x:v>
      </x:c>
      <x:c r="C329" s="19" t="str">
        <x:f>IF(COUNTIF('Colleague 115'!$A$2:$A$116,A329)&gt;0,"Yes","No")</x:f>
        <x:v>Yes</x:v>
      </x:c>
      <x:c r="D329" s="19" t="str">
        <x:f>IF(COUNTIF('Volcano 402'!$A$2:$A$403,A329)&gt;0,"Yes","No")</x:f>
        <x:v>Yes</x:v>
      </x:c>
      <x:c r="E329" s="19" t="str">
        <x:f>IF(COUNTIF('Heatmap 169'!$A$2:$A$170,A329)&gt;0,"Yes","No")</x:f>
        <x:v>Yes</x:v>
      </x:c>
      <x:c r="F329" s="19" t="n">
        <x:f>COUNTIF(C329:E329,"Yes")</x:f>
        <x:v>3</x:v>
      </x:c>
      <x:c r="G329" s="10" t="str">
        <x:f>IF(F329=3,"All three",IF(F329=2,IF(C329="No","Volcano + heatmap",IF(D329="No","Colleague + heatmap","Colleague + volcano")),IF(C329="Yes","Colleague only",IF(D329="Yes","Volcano only","Heatmap only"))))</x:f>
        <x:v>All three</x:v>
      </x:c>
      <x:c r="H329" s="10" t="str">
        <x:v>Innate Immune Recognition &amp; Signaling</x:v>
      </x:c>
      <x:c r="I329" s="10" t="str">
        <x:v>Immune Activation &amp; Sensing (Toll/JAK-STAT/NF-κB)</x:v>
      </x:c>
      <x:c r="J329" s="10" t="str">
        <x:v>Immune-related</x:v>
      </x:c>
      <x:c r="K329" s="10" t="str">
        <x:v>infected_diet33_vs50; infection_average_all_diets; infection_diet33; infection_diet50; infection_diet83</x:v>
      </x:c>
      <x:c r="L329" s="10" t="str">
        <x:v>Top DEG</x:v>
      </x:c>
      <x:c r="M329" s="10" t="str">
        <x:v>Other strong DEG</x:v>
      </x:c>
      <x:c r="N329" s="10" t="str">
        <x:v>DEG</x:v>
      </x:c>
    </x:row>
    <x:row r="330">
      <x:c r="A330" s="10" t="str">
        <x:v>LOC126327137</x:v>
      </x:c>
      <x:c r="B330" s="10" t="str">
        <x:v>esterase FE4-like</x:v>
      </x:c>
      <x:c r="C330" s="19" t="str">
        <x:f>IF(COUNTIF('Colleague 115'!$A$2:$A$116,A330)&gt;0,"Yes","No")</x:f>
        <x:v>No</x:v>
      </x:c>
      <x:c r="D330" s="19" t="str">
        <x:f>IF(COUNTIF('Volcano 402'!$A$2:$A$403,A330)&gt;0,"Yes","No")</x:f>
        <x:v>Yes</x:v>
      </x:c>
      <x:c r="E330" s="19" t="str">
        <x:f>IF(COUNTIF('Heatmap 169'!$A$2:$A$170,A330)&gt;0,"Yes","No")</x:f>
        <x:v>Yes</x:v>
      </x:c>
      <x:c r="F330" s="19" t="n">
        <x:f>COUNTIF(C330:E330,"Yes")</x:f>
        <x:v>2</x:v>
      </x:c>
      <x:c r="G330" s="10" t="str">
        <x:f>IF(F330=3,"All three",IF(F330=2,IF(C330="No","Volcano + heatmap",IF(D330="No","Colleague + heatmap","Colleague + volcano")),IF(C330="Yes","Colleague only",IF(D330="Yes","Volcano only","Heatmap only"))))</x:f>
        <x:v>Volcano + heatmap</x:v>
      </x:c>
      <x:c r="H330" s="10" t="str"/>
      <x:c r="I330" s="10" t="str"/>
      <x:c r="J330" s="10" t="str">
        <x:v>Lipid synthesis / metabolism</x:v>
      </x:c>
      <x:c r="K330" s="10" t="str">
        <x:v>infection_average_all_diets</x:v>
      </x:c>
      <x:c r="L330" s="10" t="str">
        <x:v>Functional candidate</x:v>
      </x:c>
      <x:c r="M330" s="10" t="str">
        <x:v>Nutrition/metabolism</x:v>
      </x:c>
      <x:c r="N330" s="10" t="str">
        <x:v>Not DEG</x:v>
      </x:c>
    </x:row>
    <x:row r="331">
      <x:c r="A331" s="10" t="str">
        <x:v>LOC126328249</x:v>
      </x:c>
      <x:c r="B331" s="10" t="str">
        <x:v>Haloacid dehalogenase-like hydrolase</x:v>
      </x:c>
      <x:c r="C331" s="19" t="str">
        <x:f>IF(COUNTIF('Colleague 115'!$A$2:$A$116,A331)&gt;0,"Yes","No")</x:f>
        <x:v>No</x:v>
      </x:c>
      <x:c r="D331" s="19" t="str">
        <x:f>IF(COUNTIF('Volcano 402'!$A$2:$A$403,A331)&gt;0,"Yes","No")</x:f>
        <x:v>No</x:v>
      </x:c>
      <x:c r="E331" s="19" t="str">
        <x:f>IF(COUNTIF('Heatmap 169'!$A$2:$A$170,A331)&gt;0,"Yes","No")</x:f>
        <x:v>Yes</x:v>
      </x:c>
      <x:c r="F331" s="19" t="n">
        <x:f>COUNTIF(C331:E331,"Yes")</x:f>
        <x:v>1</x:v>
      </x:c>
      <x:c r="G331" s="10" t="str">
        <x:f>IF(F331=3,"All three",IF(F331=2,IF(C331="No","Volcano + heatmap",IF(D331="No","Colleague + heatmap","Colleague + volcano")),IF(C331="Yes","Colleague only",IF(D331="Yes","Volcano only","Heatmap only"))))</x:f>
        <x:v>Heatmap only</x:v>
      </x:c>
      <x:c r="H331" s="10" t="str"/>
      <x:c r="I331" s="10" t="str"/>
      <x:c r="J331" s="10" t="str"/>
      <x:c r="K331" s="10" t="str"/>
      <x:c r="L331" s="10" t="str">
        <x:v>Top DEG</x:v>
      </x:c>
      <x:c r="M331" s="10" t="str">
        <x:v>Other strong DEG</x:v>
      </x:c>
      <x:c r="N331" s="10" t="str">
        <x:v>DEG</x:v>
      </x:c>
    </x:row>
    <x:row r="332">
      <x:c r="A332" s="10" t="str">
        <x:v>LOC126329244</x:v>
      </x:c>
      <x:c r="B332" s="10" t="str">
        <x:v>sushi, von Willebrand factor type A, EGF and pentraxin domain-containing protein 1</x:v>
      </x:c>
      <x:c r="C332" s="19" t="str">
        <x:f>IF(COUNTIF('Colleague 115'!$A$2:$A$116,A332)&gt;0,"Yes","No")</x:f>
        <x:v>Yes</x:v>
      </x:c>
      <x:c r="D332" s="19" t="str">
        <x:f>IF(COUNTIF('Volcano 402'!$A$2:$A$403,A332)&gt;0,"Yes","No")</x:f>
        <x:v>Yes</x:v>
      </x:c>
      <x:c r="E332" s="19" t="str">
        <x:f>IF(COUNTIF('Heatmap 169'!$A$2:$A$170,A332)&gt;0,"Yes","No")</x:f>
        <x:v>No</x:v>
      </x:c>
      <x:c r="F332" s="19" t="n">
        <x:f>COUNTIF(C332:E332,"Yes")</x:f>
        <x:v>2</x:v>
      </x:c>
      <x:c r="G332" s="10" t="str">
        <x:f>IF(F332=3,"All three",IF(F332=2,IF(C332="No","Volcano + heatmap",IF(D332="No","Colleague + heatmap","Colleague + volcano")),IF(C332="Yes","Colleague only",IF(D332="Yes","Volcano only","Heatmap only"))))</x:f>
        <x:v>Colleague + volcano</x:v>
      </x:c>
      <x:c r="H332" s="10" t="str">
        <x:v>Innate Immune Recognition &amp; Signaling</x:v>
      </x:c>
      <x:c r="I332" s="10" t="str">
        <x:v>Pattern Recognition Receptors (PRRs)</x:v>
      </x:c>
      <x:c r="J332" s="10" t="str">
        <x:v>Immune-related</x:v>
      </x:c>
      <x:c r="K332" s="10" t="str">
        <x:v>infection_diet50</x:v>
      </x:c>
      <x:c r="L332" s="10" t="str"/>
      <x:c r="M332" s="10" t="str"/>
      <x:c r="N332" s="10" t="str"/>
    </x:row>
    <x:row r="333">
      <x:c r="A333" s="10" t="str">
        <x:v>LOC126329703</x:v>
      </x:c>
      <x:c r="B333" s="10" t="str">
        <x:v>phospholipid-transporting ATPase IF-like</x:v>
      </x:c>
      <x:c r="C333" s="19" t="str">
        <x:f>IF(COUNTIF('Colleague 115'!$A$2:$A$116,A333)&gt;0,"Yes","No")</x:f>
        <x:v>No</x:v>
      </x:c>
      <x:c r="D333" s="19" t="str">
        <x:f>IF(COUNTIF('Volcano 402'!$A$2:$A$403,A333)&gt;0,"Yes","No")</x:f>
        <x:v>Yes</x:v>
      </x:c>
      <x:c r="E333" s="19" t="str">
        <x:f>IF(COUNTIF('Heatmap 169'!$A$2:$A$170,A333)&gt;0,"Yes","No")</x:f>
        <x:v>No</x:v>
      </x:c>
      <x:c r="F333" s="19" t="n">
        <x:f>COUNTIF(C333:E333,"Yes")</x:f>
        <x:v>1</x:v>
      </x:c>
      <x:c r="G333" s="10" t="str">
        <x:f>IF(F333=3,"All three",IF(F333=2,IF(C333="No","Volcano + heatmap",IF(D333="No","Colleague + heatmap","Colleague + volcano")),IF(C333="Yes","Colleague only",IF(D333="Yes","Volcano only","Heatmap only"))))</x:f>
        <x:v>Volcano only</x:v>
      </x:c>
      <x:c r="H333" s="10" t="str"/>
      <x:c r="I333" s="10" t="str"/>
      <x:c r="J333" s="10" t="str">
        <x:v>Lipid synthesis / metabolism</x:v>
      </x:c>
      <x:c r="K333" s="10" t="str">
        <x:v>infection_average_all_diets; infection_diet50</x:v>
      </x:c>
      <x:c r="L333" s="10" t="str"/>
      <x:c r="M333" s="10" t="str"/>
      <x:c r="N333" s="10" t="str"/>
    </x:row>
    <x:row r="334">
      <x:c r="A334" s="10" t="str">
        <x:v>LOC126330110</x:v>
      </x:c>
      <x:c r="B334" s="10" t="str">
        <x:v>carboxylesterase 4A</x:v>
      </x:c>
      <x:c r="C334" s="19" t="str">
        <x:f>IF(COUNTIF('Colleague 115'!$A$2:$A$116,A334)&gt;0,"Yes","No")</x:f>
        <x:v>No</x:v>
      </x:c>
      <x:c r="D334" s="19" t="str">
        <x:f>IF(COUNTIF('Volcano 402'!$A$2:$A$403,A334)&gt;0,"Yes","No")</x:f>
        <x:v>Yes</x:v>
      </x:c>
      <x:c r="E334" s="19" t="str">
        <x:f>IF(COUNTIF('Heatmap 169'!$A$2:$A$170,A334)&gt;0,"Yes","No")</x:f>
        <x:v>No</x:v>
      </x:c>
      <x:c r="F334" s="19" t="n">
        <x:f>COUNTIF(C334:E334,"Yes")</x:f>
        <x:v>1</x:v>
      </x:c>
      <x:c r="G334" s="10" t="str">
        <x:f>IF(F334=3,"All three",IF(F334=2,IF(C334="No","Volcano + heatmap",IF(D334="No","Colleague + heatmap","Colleague + volcano")),IF(C334="Yes","Colleague only",IF(D334="Yes","Volcano only","Heatmap only"))))</x:f>
        <x:v>Volcano only</x:v>
      </x:c>
      <x:c r="H334" s="10" t="str"/>
      <x:c r="I334" s="10" t="str"/>
      <x:c r="J334" s="10" t="str">
        <x:v>Detoxification / stress</x:v>
      </x:c>
      <x:c r="K334" s="10" t="str">
        <x:v>infection_diet50</x:v>
      </x:c>
      <x:c r="L334" s="10" t="str"/>
      <x:c r="M334" s="10" t="str"/>
      <x:c r="N334" s="10" t="str"/>
    </x:row>
    <x:row r="335">
      <x:c r="A335" s="10" t="str">
        <x:v>LOC126331691</x:v>
      </x:c>
      <x:c r="B335" s="10" t="str">
        <x:v>toll-like receptor 2 type-2</x:v>
      </x:c>
      <x:c r="C335" s="19" t="str">
        <x:f>IF(COUNTIF('Colleague 115'!$A$2:$A$116,A335)&gt;0,"Yes","No")</x:f>
        <x:v>Yes</x:v>
      </x:c>
      <x:c r="D335" s="19" t="str">
        <x:f>IF(COUNTIF('Volcano 402'!$A$2:$A$403,A335)&gt;0,"Yes","No")</x:f>
        <x:v>Yes</x:v>
      </x:c>
      <x:c r="E335" s="19" t="str">
        <x:f>IF(COUNTIF('Heatmap 169'!$A$2:$A$170,A335)&gt;0,"Yes","No")</x:f>
        <x:v>No</x:v>
      </x:c>
      <x:c r="F335" s="19" t="n">
        <x:f>COUNTIF(C335:E335,"Yes")</x:f>
        <x:v>2</x:v>
      </x:c>
      <x:c r="G335" s="10" t="str">
        <x:f>IF(F335=3,"All three",IF(F335=2,IF(C335="No","Volcano + heatmap",IF(D335="No","Colleague + heatmap","Colleague + volcano")),IF(C335="Yes","Colleague only",IF(D335="Yes","Volcano only","Heatmap only"))))</x:f>
        <x:v>Colleague + volcano</x:v>
      </x:c>
      <x:c r="H335" s="10" t="str">
        <x:v>Innate Immune Recognition &amp; Signaling</x:v>
      </x:c>
      <x:c r="I335" s="10" t="str">
        <x:v>Immune Activation &amp; Sensing (Toll/JAK-STAT/NF-κB)</x:v>
      </x:c>
      <x:c r="J335" s="10" t="str">
        <x:v>Immune-related</x:v>
      </x:c>
      <x:c r="K335" s="10" t="str">
        <x:v>infection_average_all_diets; infection_diet33; infection_diet50; infection_diet83</x:v>
      </x:c>
      <x:c r="L335" s="10" t="str"/>
      <x:c r="M335" s="10" t="str"/>
      <x:c r="N335" s="10" t="str"/>
    </x:row>
    <x:row r="336">
      <x:c r="A336" s="10" t="str">
        <x:v>LOC126332010</x:v>
      </x:c>
      <x:c r="B336" s="10" t="str">
        <x:v>Kazal type serine protease inhibitors</x:v>
      </x:c>
      <x:c r="C336" s="19" t="str">
        <x:f>IF(COUNTIF('Colleague 115'!$A$2:$A$116,A336)&gt;0,"Yes","No")</x:f>
        <x:v>No</x:v>
      </x:c>
      <x:c r="D336" s="19" t="str">
        <x:f>IF(COUNTIF('Volcano 402'!$A$2:$A$403,A336)&gt;0,"Yes","No")</x:f>
        <x:v>No</x:v>
      </x:c>
      <x:c r="E336" s="19" t="str">
        <x:f>IF(COUNTIF('Heatmap 169'!$A$2:$A$170,A336)&gt;0,"Yes","No")</x:f>
        <x:v>Yes</x:v>
      </x:c>
      <x:c r="F336" s="19" t="n">
        <x:f>COUNTIF(C336:E336,"Yes")</x:f>
        <x:v>1</x:v>
      </x:c>
      <x:c r="G336" s="10" t="str">
        <x:f>IF(F336=3,"All three",IF(F336=2,IF(C336="No","Volcano + heatmap",IF(D336="No","Colleague + heatmap","Colleague + volcano")),IF(C336="Yes","Colleague only",IF(D336="Yes","Volcano only","Heatmap only"))))</x:f>
        <x:v>Heatmap only</x:v>
      </x:c>
      <x:c r="H336" s="10" t="str"/>
      <x:c r="I336" s="10" t="str"/>
      <x:c r="J336" s="10" t="str"/>
      <x:c r="K336" s="10" t="str"/>
      <x:c r="L336" s="10" t="str">
        <x:v>Functional candidate</x:v>
      </x:c>
      <x:c r="M336" s="10" t="str">
        <x:v>Nutrition/metabolism</x:v>
      </x:c>
      <x:c r="N336" s="10" t="str">
        <x:v>Not DEG</x:v>
      </x:c>
    </x:row>
    <x:row r="337">
      <x:c r="A337" s="10" t="str">
        <x:v>LOC126332318</x:v>
      </x:c>
      <x:c r="B337" s="10" t="str"/>
      <x:c r="C337" s="19" t="str">
        <x:f>IF(COUNTIF('Colleague 115'!$A$2:$A$116,A337)&gt;0,"Yes","No")</x:f>
        <x:v>No</x:v>
      </x:c>
      <x:c r="D337" s="19" t="str">
        <x:f>IF(COUNTIF('Volcano 402'!$A$2:$A$403,A337)&gt;0,"Yes","No")</x:f>
        <x:v>No</x:v>
      </x:c>
      <x:c r="E337" s="19" t="str">
        <x:f>IF(COUNTIF('Heatmap 169'!$A$2:$A$170,A337)&gt;0,"Yes","No")</x:f>
        <x:v>Yes</x:v>
      </x:c>
      <x:c r="F337" s="19" t="n">
        <x:f>COUNTIF(C337:E337,"Yes")</x:f>
        <x:v>1</x:v>
      </x:c>
      <x:c r="G337" s="10" t="str">
        <x:f>IF(F337=3,"All three",IF(F337=2,IF(C337="No","Volcano + heatmap",IF(D337="No","Colleague + heatmap","Colleague + volcano")),IF(C337="Yes","Colleague only",IF(D337="Yes","Volcano only","Heatmap only"))))</x:f>
        <x:v>Heatmap only</x:v>
      </x:c>
      <x:c r="H337" s="10" t="str"/>
      <x:c r="I337" s="10" t="str"/>
      <x:c r="J337" s="10" t="str"/>
      <x:c r="K337" s="10" t="str"/>
      <x:c r="L337" s="10" t="str">
        <x:v>Top DEG</x:v>
      </x:c>
      <x:c r="M337" s="10" t="str">
        <x:v>Other strong DEG</x:v>
      </x:c>
      <x:c r="N337" s="10" t="str">
        <x:v>DEG</x:v>
      </x:c>
    </x:row>
    <x:row r="338">
      <x:c r="A338" s="10" t="str">
        <x:v>LOC126332740</x:v>
      </x:c>
      <x:c r="B338" s="10" t="str">
        <x:v>juvenile hormone esterase-like</x:v>
      </x:c>
      <x:c r="C338" s="19" t="str">
        <x:f>IF(COUNTIF('Colleague 115'!$A$2:$A$116,A338)&gt;0,"Yes","No")</x:f>
        <x:v>No</x:v>
      </x:c>
      <x:c r="D338" s="19" t="str">
        <x:f>IF(COUNTIF('Volcano 402'!$A$2:$A$403,A338)&gt;0,"Yes","No")</x:f>
        <x:v>Yes</x:v>
      </x:c>
      <x:c r="E338" s="19" t="str">
        <x:f>IF(COUNTIF('Heatmap 169'!$A$2:$A$170,A338)&gt;0,"Yes","No")</x:f>
        <x:v>No</x:v>
      </x:c>
      <x:c r="F338" s="19" t="n">
        <x:f>COUNTIF(C338:E338,"Yes")</x:f>
        <x:v>1</x:v>
      </x:c>
      <x:c r="G338" s="10" t="str">
        <x:f>IF(F338=3,"All three",IF(F338=2,IF(C338="No","Volcano + heatmap",IF(D338="No","Colleague + heatmap","Colleague + volcano")),IF(C338="Yes","Colleague only",IF(D338="Yes","Volcano only","Heatmap only"))))</x:f>
        <x:v>Volcano only</x:v>
      </x:c>
      <x:c r="H338" s="10" t="str"/>
      <x:c r="I338" s="10" t="str"/>
      <x:c r="J338" s="10" t="str">
        <x:v>Lipid synthesis / metabolism</x:v>
      </x:c>
      <x:c r="K338" s="10" t="str">
        <x:v>infection_average_all_diets; infection_diet50; infection_diet83</x:v>
      </x:c>
      <x:c r="L338" s="10" t="str"/>
      <x:c r="M338" s="10" t="str"/>
      <x:c r="N338" s="10" t="str"/>
    </x:row>
    <x:row r="339">
      <x:c r="A339" s="10" t="str">
        <x:v>LOC126332793</x:v>
      </x:c>
      <x:c r="B339" s="10" t="str">
        <x:v>juvenile hormone esterase-like</x:v>
      </x:c>
      <x:c r="C339" s="19" t="str">
        <x:f>IF(COUNTIF('Colleague 115'!$A$2:$A$116,A339)&gt;0,"Yes","No")</x:f>
        <x:v>No</x:v>
      </x:c>
      <x:c r="D339" s="19" t="str">
        <x:f>IF(COUNTIF('Volcano 402'!$A$2:$A$403,A339)&gt;0,"Yes","No")</x:f>
        <x:v>Yes</x:v>
      </x:c>
      <x:c r="E339" s="19" t="str">
        <x:f>IF(COUNTIF('Heatmap 169'!$A$2:$A$170,A339)&gt;0,"Yes","No")</x:f>
        <x:v>No</x:v>
      </x:c>
      <x:c r="F339" s="19" t="n">
        <x:f>COUNTIF(C339:E339,"Yes")</x:f>
        <x:v>1</x:v>
      </x:c>
      <x:c r="G339" s="10" t="str">
        <x:f>IF(F339=3,"All three",IF(F339=2,IF(C339="No","Volcano + heatmap",IF(D339="No","Colleague + heatmap","Colleague + volcano")),IF(C339="Yes","Colleague only",IF(D339="Yes","Volcano only","Heatmap only"))))</x:f>
        <x:v>Volcano only</x:v>
      </x:c>
      <x:c r="H339" s="10" t="str"/>
      <x:c r="I339" s="10" t="str"/>
      <x:c r="J339" s="10" t="str">
        <x:v>Lipid synthesis / metabolism</x:v>
      </x:c>
      <x:c r="K339" s="10" t="str">
        <x:v>infection_average_all_diets; infection_diet50; infection_diet83</x:v>
      </x:c>
      <x:c r="L339" s="10" t="str"/>
      <x:c r="M339" s="10" t="str"/>
      <x:c r="N339" s="10" t="str"/>
    </x:row>
    <x:row r="340">
      <x:c r="A340" s="10" t="str">
        <x:v>LOC126332816</x:v>
      </x:c>
      <x:c r="B340" s="10" t="str">
        <x:v>juvenile hormone esterase-like</x:v>
      </x:c>
      <x:c r="C340" s="19" t="str">
        <x:f>IF(COUNTIF('Colleague 115'!$A$2:$A$116,A340)&gt;0,"Yes","No")</x:f>
        <x:v>No</x:v>
      </x:c>
      <x:c r="D340" s="19" t="str">
        <x:f>IF(COUNTIF('Volcano 402'!$A$2:$A$403,A340)&gt;0,"Yes","No")</x:f>
        <x:v>Yes</x:v>
      </x:c>
      <x:c r="E340" s="19" t="str">
        <x:f>IF(COUNTIF('Heatmap 169'!$A$2:$A$170,A340)&gt;0,"Yes","No")</x:f>
        <x:v>No</x:v>
      </x:c>
      <x:c r="F340" s="19" t="n">
        <x:f>COUNTIF(C340:E340,"Yes")</x:f>
        <x:v>1</x:v>
      </x:c>
      <x:c r="G340" s="10" t="str">
        <x:f>IF(F340=3,"All three",IF(F340=2,IF(C340="No","Volcano + heatmap",IF(D340="No","Colleague + heatmap","Colleague + volcano")),IF(C340="Yes","Colleague only",IF(D340="Yes","Volcano only","Heatmap only"))))</x:f>
        <x:v>Volcano only</x:v>
      </x:c>
      <x:c r="H340" s="10" t="str"/>
      <x:c r="I340" s="10" t="str"/>
      <x:c r="J340" s="10" t="str">
        <x:v>Lipid synthesis / metabolism</x:v>
      </x:c>
      <x:c r="K340" s="10" t="str">
        <x:v>infection_diet50</x:v>
      </x:c>
      <x:c r="L340" s="10" t="str"/>
      <x:c r="M340" s="10" t="str"/>
      <x:c r="N340" s="10" t="str"/>
    </x:row>
    <x:row r="341">
      <x:c r="A341" s="10" t="str">
        <x:v>LOC126332857</x:v>
      </x:c>
      <x:c r="B341" s="10" t="str">
        <x:v>esterase E4-like</x:v>
      </x:c>
      <x:c r="C341" s="19" t="str">
        <x:f>IF(COUNTIF('Colleague 115'!$A$2:$A$116,A341)&gt;0,"Yes","No")</x:f>
        <x:v>No</x:v>
      </x:c>
      <x:c r="D341" s="19" t="str">
        <x:f>IF(COUNTIF('Volcano 402'!$A$2:$A$403,A341)&gt;0,"Yes","No")</x:f>
        <x:v>Yes</x:v>
      </x:c>
      <x:c r="E341" s="19" t="str">
        <x:f>IF(COUNTIF('Heatmap 169'!$A$2:$A$170,A341)&gt;0,"Yes","No")</x:f>
        <x:v>No</x:v>
      </x:c>
      <x:c r="F341" s="19" t="n">
        <x:f>COUNTIF(C341:E341,"Yes")</x:f>
        <x:v>1</x:v>
      </x:c>
      <x:c r="G341" s="10" t="str">
        <x:f>IF(F341=3,"All three",IF(F341=2,IF(C341="No","Volcano + heatmap",IF(D341="No","Colleague + heatmap","Colleague + volcano")),IF(C341="Yes","Colleague only",IF(D341="Yes","Volcano only","Heatmap only"))))</x:f>
        <x:v>Volcano only</x:v>
      </x:c>
      <x:c r="H341" s="10" t="str"/>
      <x:c r="I341" s="10" t="str"/>
      <x:c r="J341" s="10" t="str">
        <x:v>Lipid synthesis / metabolism</x:v>
      </x:c>
      <x:c r="K341" s="10" t="str">
        <x:v>infection_diet83</x:v>
      </x:c>
      <x:c r="L341" s="10" t="str"/>
      <x:c r="M341" s="10" t="str"/>
      <x:c r="N341" s="10" t="str"/>
    </x:row>
    <x:row r="342">
      <x:c r="A342" s="10" t="str">
        <x:v>LOC126333165</x:v>
      </x:c>
      <x:c r="B342" s="10" t="str">
        <x:v>MOXD1 homolog 1-like</x:v>
      </x:c>
      <x:c r="C342" s="19" t="str">
        <x:f>IF(COUNTIF('Colleague 115'!$A$2:$A$116,A342)&gt;0,"Yes","No")</x:f>
        <x:v>No</x:v>
      </x:c>
      <x:c r="D342" s="19" t="str">
        <x:f>IF(COUNTIF('Volcano 402'!$A$2:$A$403,A342)&gt;0,"Yes","No")</x:f>
        <x:v>Yes</x:v>
      </x:c>
      <x:c r="E342" s="19" t="str">
        <x:f>IF(COUNTIF('Heatmap 169'!$A$2:$A$170,A342)&gt;0,"Yes","No")</x:f>
        <x:v>No</x:v>
      </x:c>
      <x:c r="F342" s="19" t="n">
        <x:f>COUNTIF(C342:E342,"Yes")</x:f>
        <x:v>1</x:v>
      </x:c>
      <x:c r="G342" s="10" t="str">
        <x:f>IF(F342=3,"All three",IF(F342=2,IF(C342="No","Volcano + heatmap",IF(D342="No","Colleague + heatmap","Colleague + volcano")),IF(C342="Yes","Colleague only",IF(D342="Yes","Volcano only","Heatmap only"))))</x:f>
        <x:v>Volcano only</x:v>
      </x:c>
      <x:c r="H342" s="10" t="str"/>
      <x:c r="I342" s="10" t="str"/>
      <x:c r="J342" s="10" t="str">
        <x:v>Detoxification / stress</x:v>
      </x:c>
      <x:c r="K342" s="10" t="str">
        <x:v>infection_average_all_diets; infection_diet50</x:v>
      </x:c>
      <x:c r="L342" s="10" t="str"/>
      <x:c r="M342" s="10" t="str"/>
      <x:c r="N342" s="10" t="str"/>
    </x:row>
    <x:row r="343">
      <x:c r="A343" s="10" t="str">
        <x:v>LOC126334582</x:v>
      </x:c>
      <x:c r="B343" s="10" t="str">
        <x:v>serpin B12</x:v>
      </x:c>
      <x:c r="C343" s="19" t="str">
        <x:f>IF(COUNTIF('Colleague 115'!$A$2:$A$116,A343)&gt;0,"Yes","No")</x:f>
        <x:v>No</x:v>
      </x:c>
      <x:c r="D343" s="19" t="str">
        <x:f>IF(COUNTIF('Volcano 402'!$A$2:$A$403,A343)&gt;0,"Yes","No")</x:f>
        <x:v>Yes</x:v>
      </x:c>
      <x:c r="E343" s="19" t="str">
        <x:f>IF(COUNTIF('Heatmap 169'!$A$2:$A$170,A343)&gt;0,"Yes","No")</x:f>
        <x:v>No</x:v>
      </x:c>
      <x:c r="F343" s="19" t="n">
        <x:f>COUNTIF(C343:E343,"Yes")</x:f>
        <x:v>1</x:v>
      </x:c>
      <x:c r="G343" s="10" t="str">
        <x:f>IF(F343=3,"All three",IF(F343=2,IF(C343="No","Volcano + heatmap",IF(D343="No","Colleague + heatmap","Colleague + volcano")),IF(C343="Yes","Colleague only",IF(D343="Yes","Volcano only","Heatmap only"))))</x:f>
        <x:v>Volcano only</x:v>
      </x:c>
      <x:c r="H343" s="10" t="str"/>
      <x:c r="I343" s="10" t="str"/>
      <x:c r="J343" s="10" t="str">
        <x:v>Immune-related</x:v>
      </x:c>
      <x:c r="K343" s="10" t="str">
        <x:v>infection_diet50</x:v>
      </x:c>
      <x:c r="L343" s="10" t="str"/>
      <x:c r="M343" s="10" t="str"/>
      <x:c r="N343" s="10" t="str"/>
    </x:row>
    <x:row r="344">
      <x:c r="A344" s="10" t="str">
        <x:v>LOC126334632</x:v>
      </x:c>
      <x:c r="B344" s="10" t="str">
        <x:v>phenoloxidase 2-like</x:v>
      </x:c>
      <x:c r="C344" s="19" t="str">
        <x:f>IF(COUNTIF('Colleague 115'!$A$2:$A$116,A344)&gt;0,"Yes","No")</x:f>
        <x:v>Yes</x:v>
      </x:c>
      <x:c r="D344" s="19" t="str">
        <x:f>IF(COUNTIF('Volcano 402'!$A$2:$A$403,A344)&gt;0,"Yes","No")</x:f>
        <x:v>Yes</x:v>
      </x:c>
      <x:c r="E344" s="19" t="str">
        <x:f>IF(COUNTIF('Heatmap 169'!$A$2:$A$170,A344)&gt;0,"Yes","No")</x:f>
        <x:v>No</x:v>
      </x:c>
      <x:c r="F344" s="19" t="n">
        <x:f>COUNTIF(C344:E344,"Yes")</x:f>
        <x:v>2</x:v>
      </x:c>
      <x:c r="G344" s="10" t="str">
        <x:f>IF(F344=3,"All three",IF(F344=2,IF(C344="No","Volcano + heatmap",IF(D344="No","Colleague + heatmap","Colleague + volcano")),IF(C344="Yes","Colleague only",IF(D344="Yes","Volcano only","Heatmap only"))))</x:f>
        <x:v>Colleague + volcano</x:v>
      </x:c>
      <x:c r="H344" s="10" t="str">
        <x:v>Humoral Immunity</x:v>
      </x:c>
      <x:c r="I344" s="10" t="str">
        <x:v>Prophenoloxidase (proPO) System</x:v>
      </x:c>
      <x:c r="J344" s="10" t="str">
        <x:v>Immune-related</x:v>
      </x:c>
      <x:c r="K344" s="10" t="str">
        <x:v>infection_average_all_diets; infection_diet33; infection_diet50; infection_diet83</x:v>
      </x:c>
      <x:c r="L344" s="10" t="str"/>
      <x:c r="M344" s="10" t="str"/>
      <x:c r="N344" s="10" t="str"/>
    </x:row>
    <x:row r="345">
      <x:c r="A345" s="10" t="str">
        <x:v>LOC126334635</x:v>
      </x:c>
      <x:c r="B345" s="10" t="str">
        <x:v>toll-like receptor 4</x:v>
      </x:c>
      <x:c r="C345" s="19" t="str">
        <x:f>IF(COUNTIF('Colleague 115'!$A$2:$A$116,A345)&gt;0,"Yes","No")</x:f>
        <x:v>Yes</x:v>
      </x:c>
      <x:c r="D345" s="19" t="str">
        <x:f>IF(COUNTIF('Volcano 402'!$A$2:$A$403,A345)&gt;0,"Yes","No")</x:f>
        <x:v>Yes</x:v>
      </x:c>
      <x:c r="E345" s="19" t="str">
        <x:f>IF(COUNTIF('Heatmap 169'!$A$2:$A$170,A345)&gt;0,"Yes","No")</x:f>
        <x:v>No</x:v>
      </x:c>
      <x:c r="F345" s="19" t="n">
        <x:f>COUNTIF(C345:E345,"Yes")</x:f>
        <x:v>2</x:v>
      </x:c>
      <x:c r="G345" s="10" t="str">
        <x:f>IF(F345=3,"All three",IF(F345=2,IF(C345="No","Volcano + heatmap",IF(D345="No","Colleague + heatmap","Colleague + volcano")),IF(C345="Yes","Colleague only",IF(D345="Yes","Volcano only","Heatmap only"))))</x:f>
        <x:v>Colleague + volcano</x:v>
      </x:c>
      <x:c r="H345" s="10" t="str">
        <x:v>Innate Immune Recognition &amp; Signaling</x:v>
      </x:c>
      <x:c r="I345" s="10" t="str">
        <x:v>Immune Activation &amp; Sensing (Toll/JAK-STAT/NF-κB)</x:v>
      </x:c>
      <x:c r="J345" s="10" t="str">
        <x:v>Immune-related</x:v>
      </x:c>
      <x:c r="K345" s="10" t="str">
        <x:v>infection_diet50</x:v>
      </x:c>
      <x:c r="L345" s="10" t="str"/>
      <x:c r="M345" s="10" t="str"/>
      <x:c r="N345" s="10" t="str"/>
    </x:row>
    <x:row r="346">
      <x:c r="A346" s="10" t="str">
        <x:v>LOC126334672</x:v>
      </x:c>
      <x:c r="B346" s="10" t="str">
        <x:v>juvenile hormone esterase-like</x:v>
      </x:c>
      <x:c r="C346" s="19" t="str">
        <x:f>IF(COUNTIF('Colleague 115'!$A$2:$A$116,A346)&gt;0,"Yes","No")</x:f>
        <x:v>No</x:v>
      </x:c>
      <x:c r="D346" s="19" t="str">
        <x:f>IF(COUNTIF('Volcano 402'!$A$2:$A$403,A346)&gt;0,"Yes","No")</x:f>
        <x:v>Yes</x:v>
      </x:c>
      <x:c r="E346" s="19" t="str">
        <x:f>IF(COUNTIF('Heatmap 169'!$A$2:$A$170,A346)&gt;0,"Yes","No")</x:f>
        <x:v>No</x:v>
      </x:c>
      <x:c r="F346" s="19" t="n">
        <x:f>COUNTIF(C346:E346,"Yes")</x:f>
        <x:v>1</x:v>
      </x:c>
      <x:c r="G346" s="10" t="str">
        <x:f>IF(F346=3,"All three",IF(F346=2,IF(C346="No","Volcano + heatmap",IF(D346="No","Colleague + heatmap","Colleague + volcano")),IF(C346="Yes","Colleague only",IF(D346="Yes","Volcano only","Heatmap only"))))</x:f>
        <x:v>Volcano only</x:v>
      </x:c>
      <x:c r="H346" s="10" t="str"/>
      <x:c r="I346" s="10" t="str"/>
      <x:c r="J346" s="10" t="str">
        <x:v>Lipid synthesis / metabolism</x:v>
      </x:c>
      <x:c r="K346" s="10" t="str">
        <x:v>infection_average_all_diets; infection_diet33</x:v>
      </x:c>
      <x:c r="L346" s="10" t="str"/>
      <x:c r="M346" s="10" t="str"/>
      <x:c r="N346" s="10" t="str"/>
    </x:row>
    <x:row r="347">
      <x:c r="A347" s="10" t="str">
        <x:v>LOC126334679</x:v>
      </x:c>
      <x:c r="B347" s="10" t="str">
        <x:v>esterase FE4-like</x:v>
      </x:c>
      <x:c r="C347" s="19" t="str">
        <x:f>IF(COUNTIF('Colleague 115'!$A$2:$A$116,A347)&gt;0,"Yes","No")</x:f>
        <x:v>No</x:v>
      </x:c>
      <x:c r="D347" s="19" t="str">
        <x:f>IF(COUNTIF('Volcano 402'!$A$2:$A$403,A347)&gt;0,"Yes","No")</x:f>
        <x:v>Yes</x:v>
      </x:c>
      <x:c r="E347" s="19" t="str">
        <x:f>IF(COUNTIF('Heatmap 169'!$A$2:$A$170,A347)&gt;0,"Yes","No")</x:f>
        <x:v>No</x:v>
      </x:c>
      <x:c r="F347" s="19" t="n">
        <x:f>COUNTIF(C347:E347,"Yes")</x:f>
        <x:v>1</x:v>
      </x:c>
      <x:c r="G347" s="10" t="str">
        <x:f>IF(F347=3,"All three",IF(F347=2,IF(C347="No","Volcano + heatmap",IF(D347="No","Colleague + heatmap","Colleague + volcano")),IF(C347="Yes","Colleague only",IF(D347="Yes","Volcano only","Heatmap only"))))</x:f>
        <x:v>Volcano only</x:v>
      </x:c>
      <x:c r="H347" s="10" t="str"/>
      <x:c r="I347" s="10" t="str"/>
      <x:c r="J347" s="10" t="str">
        <x:v>Lipid synthesis / metabolism</x:v>
      </x:c>
      <x:c r="K347" s="10" t="str">
        <x:v>infection_average_all_diets</x:v>
      </x:c>
      <x:c r="L347" s="10" t="str"/>
      <x:c r="M347" s="10" t="str"/>
      <x:c r="N347" s="10" t="str"/>
    </x:row>
    <x:row r="348">
      <x:c r="A348" s="10" t="str">
        <x:v>LOC126334681</x:v>
      </x:c>
      <x:c r="B348" s="10" t="str">
        <x:v>esterase E4-like</x:v>
      </x:c>
      <x:c r="C348" s="19" t="str">
        <x:f>IF(COUNTIF('Colleague 115'!$A$2:$A$116,A348)&gt;0,"Yes","No")</x:f>
        <x:v>No</x:v>
      </x:c>
      <x:c r="D348" s="19" t="str">
        <x:f>IF(COUNTIF('Volcano 402'!$A$2:$A$403,A348)&gt;0,"Yes","No")</x:f>
        <x:v>Yes</x:v>
      </x:c>
      <x:c r="E348" s="19" t="str">
        <x:f>IF(COUNTIF('Heatmap 169'!$A$2:$A$170,A348)&gt;0,"Yes","No")</x:f>
        <x:v>No</x:v>
      </x:c>
      <x:c r="F348" s="19" t="n">
        <x:f>COUNTIF(C348:E348,"Yes")</x:f>
        <x:v>1</x:v>
      </x:c>
      <x:c r="G348" s="10" t="str">
        <x:f>IF(F348=3,"All three",IF(F348=2,IF(C348="No","Volcano + heatmap",IF(D348="No","Colleague + heatmap","Colleague + volcano")),IF(C348="Yes","Colleague only",IF(D348="Yes","Volcano only","Heatmap only"))))</x:f>
        <x:v>Volcano only</x:v>
      </x:c>
      <x:c r="H348" s="10" t="str"/>
      <x:c r="I348" s="10" t="str"/>
      <x:c r="J348" s="10" t="str">
        <x:v>Lipid synthesis / metabolism</x:v>
      </x:c>
      <x:c r="K348" s="10" t="str">
        <x:v>infection_average_all_diets</x:v>
      </x:c>
      <x:c r="L348" s="10" t="str"/>
      <x:c r="M348" s="10" t="str"/>
      <x:c r="N348" s="10" t="str"/>
    </x:row>
    <x:row r="349">
      <x:c r="A349" s="10" t="str">
        <x:v>LOC126334706</x:v>
      </x:c>
      <x:c r="B349" s="10" t="str">
        <x:v>sodium-dependent nutrient amino acid transporter 1-like</x:v>
      </x:c>
      <x:c r="C349" s="19" t="str">
        <x:f>IF(COUNTIF('Colleague 115'!$A$2:$A$116,A349)&gt;0,"Yes","No")</x:f>
        <x:v>Yes</x:v>
      </x:c>
      <x:c r="D349" s="19" t="str">
        <x:f>IF(COUNTIF('Volcano 402'!$A$2:$A$403,A349)&gt;0,"Yes","No")</x:f>
        <x:v>No</x:v>
      </x:c>
      <x:c r="E349" s="19" t="str">
        <x:f>IF(COUNTIF('Heatmap 169'!$A$2:$A$170,A349)&gt;0,"Yes","No")</x:f>
        <x:v>No</x:v>
      </x:c>
      <x:c r="F349" s="19" t="n">
        <x:f>COUNTIF(C349:E349,"Yes")</x:f>
        <x:v>1</x:v>
      </x:c>
      <x:c r="G349" s="10" t="str">
        <x:f>IF(F349=3,"All three",IF(F349=2,IF(C349="No","Volcano + heatmap",IF(D349="No","Colleague + heatmap","Colleague + volcano")),IF(C349="Yes","Colleague only",IF(D349="Yes","Volcano only","Heatmap only"))))</x:f>
        <x:v>Colleague only</x:v>
      </x:c>
      <x:c r="H349" s="10" t="str">
        <x:v>Nitrogen, Amino Acid Transport &amp; Metabolism</x:v>
      </x:c>
      <x:c r="I349" s="10" t="str">
        <x:v>Sodium-Dependent Nutrient Transporters</x:v>
      </x:c>
      <x:c r="J349" s="10" t="str"/>
      <x:c r="K349" s="10" t="str"/>
      <x:c r="L349" s="10" t="str"/>
      <x:c r="M349" s="10" t="str"/>
      <x:c r="N349" s="10" t="str"/>
    </x:row>
    <x:row r="350">
      <x:c r="A350" s="10" t="str">
        <x:v>LOC126334708</x:v>
      </x:c>
      <x:c r="B350" s="10" t="str">
        <x:v>sodium-dependent nutrient amino acid transporter 1-like</x:v>
      </x:c>
      <x:c r="C350" s="19" t="str">
        <x:f>IF(COUNTIF('Colleague 115'!$A$2:$A$116,A350)&gt;0,"Yes","No")</x:f>
        <x:v>Yes</x:v>
      </x:c>
      <x:c r="D350" s="19" t="str">
        <x:f>IF(COUNTIF('Volcano 402'!$A$2:$A$403,A350)&gt;0,"Yes","No")</x:f>
        <x:v>No</x:v>
      </x:c>
      <x:c r="E350" s="19" t="str">
        <x:f>IF(COUNTIF('Heatmap 169'!$A$2:$A$170,A350)&gt;0,"Yes","No")</x:f>
        <x:v>No</x:v>
      </x:c>
      <x:c r="F350" s="19" t="n">
        <x:f>COUNTIF(C350:E350,"Yes")</x:f>
        <x:v>1</x:v>
      </x:c>
      <x:c r="G350" s="10" t="str">
        <x:f>IF(F350=3,"All three",IF(F350=2,IF(C350="No","Volcano + heatmap",IF(D350="No","Colleague + heatmap","Colleague + volcano")),IF(C350="Yes","Colleague only",IF(D350="Yes","Volcano only","Heatmap only"))))</x:f>
        <x:v>Colleague only</x:v>
      </x:c>
      <x:c r="H350" s="10" t="str">
        <x:v>Nitrogen, Amino Acid Transport &amp; Metabolism</x:v>
      </x:c>
      <x:c r="I350" s="10" t="str">
        <x:v>Sodium-Dependent Nutrient Transporters</x:v>
      </x:c>
      <x:c r="J350" s="10" t="str"/>
      <x:c r="K350" s="10" t="str"/>
      <x:c r="L350" s="10" t="str"/>
      <x:c r="M350" s="10" t="str"/>
      <x:c r="N350" s="10" t="str"/>
    </x:row>
    <x:row r="351">
      <x:c r="A351" s="10" t="str">
        <x:v>LOC126334774</x:v>
      </x:c>
      <x:c r="B351" s="10" t="str">
        <x:v>ATP-binding cassette sub-family C member 4-like</x:v>
      </x:c>
      <x:c r="C351" s="19" t="str">
        <x:f>IF(COUNTIF('Colleague 115'!$A$2:$A$116,A351)&gt;0,"Yes","No")</x:f>
        <x:v>No</x:v>
      </x:c>
      <x:c r="D351" s="19" t="str">
        <x:f>IF(COUNTIF('Volcano 402'!$A$2:$A$403,A351)&gt;0,"Yes","No")</x:f>
        <x:v>Yes</x:v>
      </x:c>
      <x:c r="E351" s="19" t="str">
        <x:f>IF(COUNTIF('Heatmap 169'!$A$2:$A$170,A351)&gt;0,"Yes","No")</x:f>
        <x:v>No</x:v>
      </x:c>
      <x:c r="F351" s="19" t="n">
        <x:f>COUNTIF(C351:E351,"Yes")</x:f>
        <x:v>1</x:v>
      </x:c>
      <x:c r="G351" s="10" t="str">
        <x:f>IF(F351=3,"All three",IF(F351=2,IF(C351="No","Volcano + heatmap",IF(D351="No","Colleague + heatmap","Colleague + volcano")),IF(C351="Yes","Colleague only",IF(D351="Yes","Volcano only","Heatmap only"))))</x:f>
        <x:v>Volcano only</x:v>
      </x:c>
      <x:c r="H351" s="10" t="str"/>
      <x:c r="I351" s="10" t="str"/>
      <x:c r="J351" s="10" t="str">
        <x:v>Detoxification / stress</x:v>
      </x:c>
      <x:c r="K351" s="10" t="str">
        <x:v>infection_average_all_diets</x:v>
      </x:c>
      <x:c r="L351" s="10" t="str"/>
      <x:c r="M351" s="10" t="str"/>
      <x:c r="N351" s="10" t="str"/>
    </x:row>
    <x:row r="352">
      <x:c r="A352" s="10" t="str">
        <x:v>LOC126334779</x:v>
      </x:c>
      <x:c r="B352" s="10" t="str">
        <x:v>defensin-1-like</x:v>
      </x:c>
      <x:c r="C352" s="19" t="str">
        <x:f>IF(COUNTIF('Colleague 115'!$A$2:$A$116,A352)&gt;0,"Yes","No")</x:f>
        <x:v>Yes</x:v>
      </x:c>
      <x:c r="D352" s="19" t="str">
        <x:f>IF(COUNTIF('Volcano 402'!$A$2:$A$403,A352)&gt;0,"Yes","No")</x:f>
        <x:v>Yes</x:v>
      </x:c>
      <x:c r="E352" s="19" t="str">
        <x:f>IF(COUNTIF('Heatmap 169'!$A$2:$A$170,A352)&gt;0,"Yes","No")</x:f>
        <x:v>No</x:v>
      </x:c>
      <x:c r="F352" s="19" t="n">
        <x:f>COUNTIF(C352:E352,"Yes")</x:f>
        <x:v>2</x:v>
      </x:c>
      <x:c r="G352" s="10" t="str">
        <x:f>IF(F352=3,"All three",IF(F352=2,IF(C352="No","Volcano + heatmap",IF(D352="No","Colleague + heatmap","Colleague + volcano")),IF(C352="Yes","Colleague only",IF(D352="Yes","Volcano only","Heatmap only"))))</x:f>
        <x:v>Colleague + volcano</x:v>
      </x:c>
      <x:c r="H352" s="10" t="str">
        <x:v>Humoral Immunity</x:v>
      </x:c>
      <x:c r="I352" s="10" t="str">
        <x:v>Antimicrobial Peptides (AMPs)</x:v>
      </x:c>
      <x:c r="J352" s="10" t="str">
        <x:v>Antimicrobial peptides</x:v>
      </x:c>
      <x:c r="K352" s="10" t="str">
        <x:v>infection_average_all_diets; infection_diet50</x:v>
      </x:c>
      <x:c r="L352" s="10" t="str"/>
      <x:c r="M352" s="10" t="str"/>
      <x:c r="N352" s="10" t="str"/>
    </x:row>
    <x:row r="353">
      <x:c r="A353" s="10" t="str">
        <x:v>LOC126334780</x:v>
      </x:c>
      <x:c r="B353" s="10" t="str">
        <x:v>defensin-1-like</x:v>
      </x:c>
      <x:c r="C353" s="19" t="str">
        <x:f>IF(COUNTIF('Colleague 115'!$A$2:$A$116,A353)&gt;0,"Yes","No")</x:f>
        <x:v>Yes</x:v>
      </x:c>
      <x:c r="D353" s="19" t="str">
        <x:f>IF(COUNTIF('Volcano 402'!$A$2:$A$403,A353)&gt;0,"Yes","No")</x:f>
        <x:v>Yes</x:v>
      </x:c>
      <x:c r="E353" s="19" t="str">
        <x:f>IF(COUNTIF('Heatmap 169'!$A$2:$A$170,A353)&gt;0,"Yes","No")</x:f>
        <x:v>No</x:v>
      </x:c>
      <x:c r="F353" s="19" t="n">
        <x:f>COUNTIF(C353:E353,"Yes")</x:f>
        <x:v>2</x:v>
      </x:c>
      <x:c r="G353" s="10" t="str">
        <x:f>IF(F353=3,"All three",IF(F353=2,IF(C353="No","Volcano + heatmap",IF(D353="No","Colleague + heatmap","Colleague + volcano")),IF(C353="Yes","Colleague only",IF(D353="Yes","Volcano only","Heatmap only"))))</x:f>
        <x:v>Colleague + volcano</x:v>
      </x:c>
      <x:c r="H353" s="10" t="str">
        <x:v>Humoral Immunity</x:v>
      </x:c>
      <x:c r="I353" s="10" t="str">
        <x:v>Antimicrobial Peptides (AMPs)</x:v>
      </x:c>
      <x:c r="J353" s="10" t="str">
        <x:v>Antimicrobial peptides</x:v>
      </x:c>
      <x:c r="K353" s="10" t="str">
        <x:v>infection_average_all_diets; infection_diet50</x:v>
      </x:c>
      <x:c r="L353" s="10" t="str"/>
      <x:c r="M353" s="10" t="str"/>
      <x:c r="N353" s="10" t="str"/>
    </x:row>
    <x:row r="354">
      <x:c r="A354" s="10" t="str">
        <x:v>LOC126334818</x:v>
      </x:c>
      <x:c r="B354" s="10" t="str">
        <x:v>ribosomal protein S6 kinase alpha-5-like</x:v>
      </x:c>
      <x:c r="C354" s="19" t="str">
        <x:f>IF(COUNTIF('Colleague 115'!$A$2:$A$116,A354)&gt;0,"Yes","No")</x:f>
        <x:v>Yes</x:v>
      </x:c>
      <x:c r="D354" s="19" t="str">
        <x:f>IF(COUNTIF('Volcano 402'!$A$2:$A$403,A354)&gt;0,"Yes","No")</x:f>
        <x:v>Yes</x:v>
      </x:c>
      <x:c r="E354" s="19" t="str">
        <x:f>IF(COUNTIF('Heatmap 169'!$A$2:$A$170,A354)&gt;0,"Yes","No")</x:f>
        <x:v>No</x:v>
      </x:c>
      <x:c r="F354" s="19" t="n">
        <x:f>COUNTIF(C354:E354,"Yes")</x:f>
        <x:v>2</x:v>
      </x:c>
      <x:c r="G354" s="10" t="str">
        <x:f>IF(F354=3,"All three",IF(F354=2,IF(C354="No","Volcano + heatmap",IF(D354="No","Colleague + heatmap","Colleague + volcano")),IF(C354="Yes","Colleague only",IF(D354="Yes","Volcano only","Heatmap only"))))</x:f>
        <x:v>Colleague + volcano</x:v>
      </x:c>
      <x:c r="H354" s="10" t="str">
        <x:v>Protein Synthesis &amp; Translation</x:v>
      </x:c>
      <x:c r="I354" s="10" t="str">
        <x:v>TOR Pathway Regulators &amp; Effectors</x:v>
      </x:c>
      <x:c r="J354" s="10" t="str">
        <x:v>Protein synthesis / storage</x:v>
      </x:c>
      <x:c r="K354" s="10" t="str">
        <x:v>infection_average_all_diets; infection_diet33; infection_diet50; infection_diet83</x:v>
      </x:c>
      <x:c r="L354" s="10" t="str"/>
      <x:c r="M354" s="10" t="str"/>
      <x:c r="N354" s="10" t="str"/>
    </x:row>
    <x:row r="355">
      <x:c r="A355" s="10" t="str">
        <x:v>LOC126334873</x:v>
      </x:c>
      <x:c r="B355" s="10" t="str">
        <x:v>hexamerin-like</x:v>
      </x:c>
      <x:c r="C355" s="19" t="str">
        <x:f>IF(COUNTIF('Colleague 115'!$A$2:$A$116,A355)&gt;0,"Yes","No")</x:f>
        <x:v>Yes</x:v>
      </x:c>
      <x:c r="D355" s="19" t="str">
        <x:f>IF(COUNTIF('Volcano 402'!$A$2:$A$403,A355)&gt;0,"Yes","No")</x:f>
        <x:v>Yes</x:v>
      </x:c>
      <x:c r="E355" s="19" t="str">
        <x:f>IF(COUNTIF('Heatmap 169'!$A$2:$A$170,A355)&gt;0,"Yes","No")</x:f>
        <x:v>No</x:v>
      </x:c>
      <x:c r="F355" s="19" t="n">
        <x:f>COUNTIF(C355:E355,"Yes")</x:f>
        <x:v>2</x:v>
      </x:c>
      <x:c r="G355" s="10" t="str">
        <x:f>IF(F355=3,"All three",IF(F355=2,IF(C355="No","Volcano + heatmap",IF(D355="No","Colleague + heatmap","Colleague + volcano")),IF(C355="Yes","Colleague only",IF(D355="Yes","Volcano only","Heatmap only"))))</x:f>
        <x:v>Colleague + volcano</x:v>
      </x:c>
      <x:c r="H355" s="10" t="str">
        <x:v>Storage Hexamerins &amp; Reserves</x:v>
      </x:c>
      <x:c r="I355" s="10" t="str">
        <x:v>Hexamerin Storage Proteins</x:v>
      </x:c>
      <x:c r="J355" s="10" t="str">
        <x:v>Protein synthesis / storage</x:v>
      </x:c>
      <x:c r="K355" s="10" t="str">
        <x:v>infection_average_all_diets; infection_diet50</x:v>
      </x:c>
      <x:c r="L355" s="10" t="str"/>
      <x:c r="M355" s="10" t="str"/>
      <x:c r="N355" s="10" t="str"/>
    </x:row>
    <x:row r="356">
      <x:c r="A356" s="10" t="str">
        <x:v>LOC126334874</x:v>
      </x:c>
      <x:c r="B356" s="10" t="str">
        <x:v>hexamerin-like</x:v>
      </x:c>
      <x:c r="C356" s="19" t="str">
        <x:f>IF(COUNTIF('Colleague 115'!$A$2:$A$116,A356)&gt;0,"Yes","No")</x:f>
        <x:v>No</x:v>
      </x:c>
      <x:c r="D356" s="19" t="str">
        <x:f>IF(COUNTIF('Volcano 402'!$A$2:$A$403,A356)&gt;0,"Yes","No")</x:f>
        <x:v>Yes</x:v>
      </x:c>
      <x:c r="E356" s="19" t="str">
        <x:f>IF(COUNTIF('Heatmap 169'!$A$2:$A$170,A356)&gt;0,"Yes","No")</x:f>
        <x:v>No</x:v>
      </x:c>
      <x:c r="F356" s="19" t="n">
        <x:f>COUNTIF(C356:E356,"Yes")</x:f>
        <x:v>1</x:v>
      </x:c>
      <x:c r="G356" s="10" t="str">
        <x:f>IF(F356=3,"All three",IF(F356=2,IF(C356="No","Volcano + heatmap",IF(D356="No","Colleague + heatmap","Colleague + volcano")),IF(C356="Yes","Colleague only",IF(D356="Yes","Volcano only","Heatmap only"))))</x:f>
        <x:v>Volcano only</x:v>
      </x:c>
      <x:c r="H356" s="10" t="str"/>
      <x:c r="I356" s="10" t="str"/>
      <x:c r="J356" s="10" t="str">
        <x:v>Protein synthesis / storage</x:v>
      </x:c>
      <x:c r="K356" s="10" t="str">
        <x:v>infection_average_all_diets</x:v>
      </x:c>
      <x:c r="L356" s="10" t="str"/>
      <x:c r="M356" s="10" t="str"/>
      <x:c r="N356" s="10" t="str"/>
    </x:row>
    <x:row r="357">
      <x:c r="A357" s="10" t="str">
        <x:v>LOC126334876</x:v>
      </x:c>
      <x:c r="B357" s="10" t="str">
        <x:v>Hemocyanin, all-alpha domain</x:v>
      </x:c>
      <x:c r="C357" s="19" t="str">
        <x:f>IF(COUNTIF('Colleague 115'!$A$2:$A$116,A357)&gt;0,"Yes","No")</x:f>
        <x:v>No</x:v>
      </x:c>
      <x:c r="D357" s="19" t="str">
        <x:f>IF(COUNTIF('Volcano 402'!$A$2:$A$403,A357)&gt;0,"Yes","No")</x:f>
        <x:v>No</x:v>
      </x:c>
      <x:c r="E357" s="19" t="str">
        <x:f>IF(COUNTIF('Heatmap 169'!$A$2:$A$170,A357)&gt;0,"Yes","No")</x:f>
        <x:v>Yes</x:v>
      </x:c>
      <x:c r="F357" s="19" t="n">
        <x:f>COUNTIF(C357:E357,"Yes")</x:f>
        <x:v>1</x:v>
      </x:c>
      <x:c r="G357" s="10" t="str">
        <x:f>IF(F357=3,"All three",IF(F357=2,IF(C357="No","Volcano + heatmap",IF(D357="No","Colleague + heatmap","Colleague + volcano")),IF(C357="Yes","Colleague only",IF(D357="Yes","Volcano only","Heatmap only"))))</x:f>
        <x:v>Heatmap only</x:v>
      </x:c>
      <x:c r="H357" s="10" t="str"/>
      <x:c r="I357" s="10" t="str"/>
      <x:c r="J357" s="10" t="str"/>
      <x:c r="K357" s="10" t="str"/>
      <x:c r="L357" s="10" t="str">
        <x:v>Functional candidate</x:v>
      </x:c>
      <x:c r="M357" s="10" t="str">
        <x:v>Storage/lipid transport</x:v>
      </x:c>
      <x:c r="N357" s="10" t="str">
        <x:v>Not DEG</x:v>
      </x:c>
    </x:row>
    <x:row r="358">
      <x:c r="A358" s="10" t="str">
        <x:v>LOC126334879</x:v>
      </x:c>
      <x:c r="B358" s="10" t="str">
        <x:v>hexamerin-like</x:v>
      </x:c>
      <x:c r="C358" s="19" t="str">
        <x:f>IF(COUNTIF('Colleague 115'!$A$2:$A$116,A358)&gt;0,"Yes","No")</x:f>
        <x:v>Yes</x:v>
      </x:c>
      <x:c r="D358" s="19" t="str">
        <x:f>IF(COUNTIF('Volcano 402'!$A$2:$A$403,A358)&gt;0,"Yes","No")</x:f>
        <x:v>Yes</x:v>
      </x:c>
      <x:c r="E358" s="19" t="str">
        <x:f>IF(COUNTIF('Heatmap 169'!$A$2:$A$170,A358)&gt;0,"Yes","No")</x:f>
        <x:v>No</x:v>
      </x:c>
      <x:c r="F358" s="19" t="n">
        <x:f>COUNTIF(C358:E358,"Yes")</x:f>
        <x:v>2</x:v>
      </x:c>
      <x:c r="G358" s="10" t="str">
        <x:f>IF(F358=3,"All three",IF(F358=2,IF(C358="No","Volcano + heatmap",IF(D358="No","Colleague + heatmap","Colleague + volcano")),IF(C358="Yes","Colleague only",IF(D358="Yes","Volcano only","Heatmap only"))))</x:f>
        <x:v>Colleague + volcano</x:v>
      </x:c>
      <x:c r="H358" s="10" t="str">
        <x:v>Storage Hexamerins &amp; Reserves</x:v>
      </x:c>
      <x:c r="I358" s="10" t="str">
        <x:v>Hexamerin Storage Proteins</x:v>
      </x:c>
      <x:c r="J358" s="10" t="str">
        <x:v>Protein synthesis / storage</x:v>
      </x:c>
      <x:c r="K358" s="10" t="str">
        <x:v>infection_average_all_diets; infection_diet50</x:v>
      </x:c>
      <x:c r="L358" s="10" t="str"/>
      <x:c r="M358" s="10" t="str"/>
      <x:c r="N358" s="10" t="str"/>
    </x:row>
    <x:row r="359">
      <x:c r="A359" s="10" t="str">
        <x:v>LOC126334880</x:v>
      </x:c>
      <x:c r="B359" s="10" t="str">
        <x:v>hexamerin-like</x:v>
      </x:c>
      <x:c r="C359" s="19" t="str">
        <x:f>IF(COUNTIF('Colleague 115'!$A$2:$A$116,A359)&gt;0,"Yes","No")</x:f>
        <x:v>No</x:v>
      </x:c>
      <x:c r="D359" s="19" t="str">
        <x:f>IF(COUNTIF('Volcano 402'!$A$2:$A$403,A359)&gt;0,"Yes","No")</x:f>
        <x:v>Yes</x:v>
      </x:c>
      <x:c r="E359" s="19" t="str">
        <x:f>IF(COUNTIF('Heatmap 169'!$A$2:$A$170,A359)&gt;0,"Yes","No")</x:f>
        <x:v>No</x:v>
      </x:c>
      <x:c r="F359" s="19" t="n">
        <x:f>COUNTIF(C359:E359,"Yes")</x:f>
        <x:v>1</x:v>
      </x:c>
      <x:c r="G359" s="10" t="str">
        <x:f>IF(F359=3,"All three",IF(F359=2,IF(C359="No","Volcano + heatmap",IF(D359="No","Colleague + heatmap","Colleague + volcano")),IF(C359="Yes","Colleague only",IF(D359="Yes","Volcano only","Heatmap only"))))</x:f>
        <x:v>Volcano only</x:v>
      </x:c>
      <x:c r="H359" s="10" t="str"/>
      <x:c r="I359" s="10" t="str"/>
      <x:c r="J359" s="10" t="str">
        <x:v>Protein synthesis / storage</x:v>
      </x:c>
      <x:c r="K359" s="10" t="str">
        <x:v>infection_average_all_diets</x:v>
      </x:c>
      <x:c r="L359" s="10" t="str"/>
      <x:c r="M359" s="10" t="str"/>
      <x:c r="N359" s="10" t="str"/>
    </x:row>
    <x:row r="360">
      <x:c r="A360" s="10" t="str">
        <x:v>LOC126334929</x:v>
      </x:c>
      <x:c r="B360" s="10" t="str">
        <x:v>eukaryotic translation initiation factor 4E-binding protein</x:v>
      </x:c>
      <x:c r="C360" s="19" t="str">
        <x:f>IF(COUNTIF('Colleague 115'!$A$2:$A$116,A360)&gt;0,"Yes","No")</x:f>
        <x:v>No</x:v>
      </x:c>
      <x:c r="D360" s="19" t="str">
        <x:f>IF(COUNTIF('Volcano 402'!$A$2:$A$403,A360)&gt;0,"Yes","No")</x:f>
        <x:v>Yes</x:v>
      </x:c>
      <x:c r="E360" s="19" t="str">
        <x:f>IF(COUNTIF('Heatmap 169'!$A$2:$A$170,A360)&gt;0,"Yes","No")</x:f>
        <x:v>No</x:v>
      </x:c>
      <x:c r="F360" s="19" t="n">
        <x:f>COUNTIF(C360:E360,"Yes")</x:f>
        <x:v>1</x:v>
      </x:c>
      <x:c r="G360" s="10" t="str">
        <x:f>IF(F360=3,"All three",IF(F360=2,IF(C360="No","Volcano + heatmap",IF(D360="No","Colleague + heatmap","Colleague + volcano")),IF(C360="Yes","Colleague only",IF(D360="Yes","Volcano only","Heatmap only"))))</x:f>
        <x:v>Volcano only</x:v>
      </x:c>
      <x:c r="H360" s="10" t="str"/>
      <x:c r="I360" s="10" t="str"/>
      <x:c r="J360" s="10" t="str">
        <x:v>Protein synthesis / storage</x:v>
      </x:c>
      <x:c r="K360" s="10" t="str">
        <x:v>infection_average_all_diets; infection_diet50</x:v>
      </x:c>
      <x:c r="L360" s="10" t="str"/>
      <x:c r="M360" s="10" t="str"/>
      <x:c r="N360" s="10" t="str"/>
    </x:row>
    <x:row r="361">
      <x:c r="A361" s="10" t="str">
        <x:v>LOC126335013</x:v>
      </x:c>
      <x:c r="B361" s="10" t="str">
        <x:v>serine protease snake-like</x:v>
      </x:c>
      <x:c r="C361" s="19" t="str">
        <x:f>IF(COUNTIF('Colleague 115'!$A$2:$A$116,A361)&gt;0,"Yes","No")</x:f>
        <x:v>Yes</x:v>
      </x:c>
      <x:c r="D361" s="19" t="str">
        <x:f>IF(COUNTIF('Volcano 402'!$A$2:$A$403,A361)&gt;0,"Yes","No")</x:f>
        <x:v>No</x:v>
      </x:c>
      <x:c r="E361" s="19" t="str">
        <x:f>IF(COUNTIF('Heatmap 169'!$A$2:$A$170,A361)&gt;0,"Yes","No")</x:f>
        <x:v>No</x:v>
      </x:c>
      <x:c r="F361" s="19" t="n">
        <x:f>COUNTIF(C361:E361,"Yes")</x:f>
        <x:v>1</x:v>
      </x:c>
      <x:c r="G361" s="10" t="str">
        <x:f>IF(F361=3,"All three",IF(F361=2,IF(C361="No","Volcano + heatmap",IF(D361="No","Colleague + heatmap","Colleague + volcano")),IF(C361="Yes","Colleague only",IF(D361="Yes","Volcano only","Heatmap only"))))</x:f>
        <x:v>Colleague only</x:v>
      </x:c>
      <x:c r="H361" s="10" t="str">
        <x:v>Innate Immune Recognition &amp; Signaling</x:v>
      </x:c>
      <x:c r="I361" s="10" t="str">
        <x:v>Serine Protease Cascades</x:v>
      </x:c>
      <x:c r="J361" s="10" t="str"/>
      <x:c r="K361" s="10" t="str"/>
      <x:c r="L361" s="10" t="str"/>
      <x:c r="M361" s="10" t="str"/>
      <x:c r="N361" s="10" t="str"/>
    </x:row>
    <x:row r="362">
      <x:c r="A362" s="10" t="str">
        <x:v>LOC126335045</x:v>
      </x:c>
      <x:c r="B362" s="10" t="str">
        <x:v>probable cytochrome P450 6a13</x:v>
      </x:c>
      <x:c r="C362" s="19" t="str">
        <x:f>IF(COUNTIF('Colleague 115'!$A$2:$A$116,A362)&gt;0,"Yes","No")</x:f>
        <x:v>No</x:v>
      </x:c>
      <x:c r="D362" s="19" t="str">
        <x:f>IF(COUNTIF('Volcano 402'!$A$2:$A$403,A362)&gt;0,"Yes","No")</x:f>
        <x:v>Yes</x:v>
      </x:c>
      <x:c r="E362" s="19" t="str">
        <x:f>IF(COUNTIF('Heatmap 169'!$A$2:$A$170,A362)&gt;0,"Yes","No")</x:f>
        <x:v>No</x:v>
      </x:c>
      <x:c r="F362" s="19" t="n">
        <x:f>COUNTIF(C362:E362,"Yes")</x:f>
        <x:v>1</x:v>
      </x:c>
      <x:c r="G362" s="10" t="str">
        <x:f>IF(F362=3,"All three",IF(F362=2,IF(C362="No","Volcano + heatmap",IF(D362="No","Colleague + heatmap","Colleague + volcano")),IF(C362="Yes","Colleague only",IF(D362="Yes","Volcano only","Heatmap only"))))</x:f>
        <x:v>Volcano only</x:v>
      </x:c>
      <x:c r="H362" s="10" t="str"/>
      <x:c r="I362" s="10" t="str"/>
      <x:c r="J362" s="10" t="str">
        <x:v>Detoxification / stress</x:v>
      </x:c>
      <x:c r="K362" s="10" t="str">
        <x:v>infection_average_all_diets; infection_diet50</x:v>
      </x:c>
      <x:c r="L362" s="10" t="str"/>
      <x:c r="M362" s="10" t="str"/>
      <x:c r="N362" s="10" t="str"/>
    </x:row>
    <x:row r="363">
      <x:c r="A363" s="10" t="str">
        <x:v>LOC126335083</x:v>
      </x:c>
      <x:c r="B363" s="10" t="str">
        <x:v>juvenile hormone esterase-like</x:v>
      </x:c>
      <x:c r="C363" s="19" t="str">
        <x:f>IF(COUNTIF('Colleague 115'!$A$2:$A$116,A363)&gt;0,"Yes","No")</x:f>
        <x:v>No</x:v>
      </x:c>
      <x:c r="D363" s="19" t="str">
        <x:f>IF(COUNTIF('Volcano 402'!$A$2:$A$403,A363)&gt;0,"Yes","No")</x:f>
        <x:v>Yes</x:v>
      </x:c>
      <x:c r="E363" s="19" t="str">
        <x:f>IF(COUNTIF('Heatmap 169'!$A$2:$A$170,A363)&gt;0,"Yes","No")</x:f>
        <x:v>No</x:v>
      </x:c>
      <x:c r="F363" s="19" t="n">
        <x:f>COUNTIF(C363:E363,"Yes")</x:f>
        <x:v>1</x:v>
      </x:c>
      <x:c r="G363" s="10" t="str">
        <x:f>IF(F363=3,"All three",IF(F363=2,IF(C363="No","Volcano + heatmap",IF(D363="No","Colleague + heatmap","Colleague + volcano")),IF(C363="Yes","Colleague only",IF(D363="Yes","Volcano only","Heatmap only"))))</x:f>
        <x:v>Volcano only</x:v>
      </x:c>
      <x:c r="H363" s="10" t="str"/>
      <x:c r="I363" s="10" t="str"/>
      <x:c r="J363" s="10" t="str">
        <x:v>Lipid synthesis / metabolism</x:v>
      </x:c>
      <x:c r="K363" s="10" t="str">
        <x:v>infection_average_all_diets; infection_diet33; infection_diet50; infection_diet83</x:v>
      </x:c>
      <x:c r="L363" s="10" t="str"/>
      <x:c r="M363" s="10" t="str"/>
      <x:c r="N363" s="10" t="str"/>
    </x:row>
    <x:row r="364">
      <x:c r="A364" s="10" t="str">
        <x:v>LOC126335084</x:v>
      </x:c>
      <x:c r="B364" s="10" t="str">
        <x:v>esterase E4-like</x:v>
      </x:c>
      <x:c r="C364" s="19" t="str">
        <x:f>IF(COUNTIF('Colleague 115'!$A$2:$A$116,A364)&gt;0,"Yes","No")</x:f>
        <x:v>No</x:v>
      </x:c>
      <x:c r="D364" s="19" t="str">
        <x:f>IF(COUNTIF('Volcano 402'!$A$2:$A$403,A364)&gt;0,"Yes","No")</x:f>
        <x:v>Yes</x:v>
      </x:c>
      <x:c r="E364" s="19" t="str">
        <x:f>IF(COUNTIF('Heatmap 169'!$A$2:$A$170,A364)&gt;0,"Yes","No")</x:f>
        <x:v>No</x:v>
      </x:c>
      <x:c r="F364" s="19" t="n">
        <x:f>COUNTIF(C364:E364,"Yes")</x:f>
        <x:v>1</x:v>
      </x:c>
      <x:c r="G364" s="10" t="str">
        <x:f>IF(F364=3,"All three",IF(F364=2,IF(C364="No","Volcano + heatmap",IF(D364="No","Colleague + heatmap","Colleague + volcano")),IF(C364="Yes","Colleague only",IF(D364="Yes","Volcano only","Heatmap only"))))</x:f>
        <x:v>Volcano only</x:v>
      </x:c>
      <x:c r="H364" s="10" t="str"/>
      <x:c r="I364" s="10" t="str"/>
      <x:c r="J364" s="10" t="str">
        <x:v>Lipid synthesis / metabolism</x:v>
      </x:c>
      <x:c r="K364" s="10" t="str">
        <x:v>infection_average_all_diets; infection_diet33; infection_diet50; infection_diet83</x:v>
      </x:c>
      <x:c r="L364" s="10" t="str"/>
      <x:c r="M364" s="10" t="str"/>
      <x:c r="N364" s="10" t="str"/>
    </x:row>
    <x:row r="365">
      <x:c r="A365" s="10" t="str">
        <x:v>LOC126335114</x:v>
      </x:c>
      <x:c r="B365" s="10" t="str">
        <x:v>esterase E4-like</x:v>
      </x:c>
      <x:c r="C365" s="19" t="str">
        <x:f>IF(COUNTIF('Colleague 115'!$A$2:$A$116,A365)&gt;0,"Yes","No")</x:f>
        <x:v>No</x:v>
      </x:c>
      <x:c r="D365" s="19" t="str">
        <x:f>IF(COUNTIF('Volcano 402'!$A$2:$A$403,A365)&gt;0,"Yes","No")</x:f>
        <x:v>Yes</x:v>
      </x:c>
      <x:c r="E365" s="19" t="str">
        <x:f>IF(COUNTIF('Heatmap 169'!$A$2:$A$170,A365)&gt;0,"Yes","No")</x:f>
        <x:v>Yes</x:v>
      </x:c>
      <x:c r="F365" s="19" t="n">
        <x:f>COUNTIF(C365:E365,"Yes")</x:f>
        <x:v>2</x:v>
      </x:c>
      <x:c r="G365" s="10" t="str">
        <x:f>IF(F365=3,"All three",IF(F365=2,IF(C365="No","Volcano + heatmap",IF(D365="No","Colleague + heatmap","Colleague + volcano")),IF(C365="Yes","Colleague only",IF(D365="Yes","Volcano only","Heatmap only"))))</x:f>
        <x:v>Volcano + heatmap</x:v>
      </x:c>
      <x:c r="H365" s="10" t="str"/>
      <x:c r="I365" s="10" t="str"/>
      <x:c r="J365" s="10" t="str">
        <x:v>Lipid synthesis / metabolism</x:v>
      </x:c>
      <x:c r="K365" s="10" t="str">
        <x:v>infection_average_all_diets; infection_diet33; infection_diet50; infection_diet83</x:v>
      </x:c>
      <x:c r="L365" s="10" t="str">
        <x:v>Functional candidate</x:v>
      </x:c>
      <x:c r="M365" s="10" t="str">
        <x:v>Nutrition/metabolism</x:v>
      </x:c>
      <x:c r="N365" s="10" t="str">
        <x:v>DEG</x:v>
      </x:c>
    </x:row>
    <x:row r="366">
      <x:c r="A366" s="10" t="str">
        <x:v>LOC126335115</x:v>
      </x:c>
      <x:c r="B366" s="10" t="str">
        <x:v>esterase E4-like</x:v>
      </x:c>
      <x:c r="C366" s="19" t="str">
        <x:f>IF(COUNTIF('Colleague 115'!$A$2:$A$116,A366)&gt;0,"Yes","No")</x:f>
        <x:v>No</x:v>
      </x:c>
      <x:c r="D366" s="19" t="str">
        <x:f>IF(COUNTIF('Volcano 402'!$A$2:$A$403,A366)&gt;0,"Yes","No")</x:f>
        <x:v>Yes</x:v>
      </x:c>
      <x:c r="E366" s="19" t="str">
        <x:f>IF(COUNTIF('Heatmap 169'!$A$2:$A$170,A366)&gt;0,"Yes","No")</x:f>
        <x:v>Yes</x:v>
      </x:c>
      <x:c r="F366" s="19" t="n">
        <x:f>COUNTIF(C366:E366,"Yes")</x:f>
        <x:v>2</x:v>
      </x:c>
      <x:c r="G366" s="10" t="str">
        <x:f>IF(F366=3,"All three",IF(F366=2,IF(C366="No","Volcano + heatmap",IF(D366="No","Colleague + heatmap","Colleague + volcano")),IF(C366="Yes","Colleague only",IF(D366="Yes","Volcano only","Heatmap only"))))</x:f>
        <x:v>Volcano + heatmap</x:v>
      </x:c>
      <x:c r="H366" s="10" t="str"/>
      <x:c r="I366" s="10" t="str"/>
      <x:c r="J366" s="10" t="str">
        <x:v>Lipid synthesis / metabolism</x:v>
      </x:c>
      <x:c r="K366" s="10" t="str">
        <x:v>infection_average_all_diets; infection_diet33; infection_diet50; infection_diet83</x:v>
      </x:c>
      <x:c r="L366" s="10" t="str">
        <x:v>Top DEG</x:v>
      </x:c>
      <x:c r="M366" s="10" t="str">
        <x:v>Nutrition/metabolism</x:v>
      </x:c>
      <x:c r="N366" s="10" t="str">
        <x:v>DEG</x:v>
      </x:c>
    </x:row>
    <x:row r="367">
      <x:c r="A367" s="10" t="str">
        <x:v>LOC126335117</x:v>
      </x:c>
      <x:c r="B367" s="10" t="str">
        <x:v>esterase E4-like</x:v>
      </x:c>
      <x:c r="C367" s="19" t="str">
        <x:f>IF(COUNTIF('Colleague 115'!$A$2:$A$116,A367)&gt;0,"Yes","No")</x:f>
        <x:v>No</x:v>
      </x:c>
      <x:c r="D367" s="19" t="str">
        <x:f>IF(COUNTIF('Volcano 402'!$A$2:$A$403,A367)&gt;0,"Yes","No")</x:f>
        <x:v>Yes</x:v>
      </x:c>
      <x:c r="E367" s="19" t="str">
        <x:f>IF(COUNTIF('Heatmap 169'!$A$2:$A$170,A367)&gt;0,"Yes","No")</x:f>
        <x:v>No</x:v>
      </x:c>
      <x:c r="F367" s="19" t="n">
        <x:f>COUNTIF(C367:E367,"Yes")</x:f>
        <x:v>1</x:v>
      </x:c>
      <x:c r="G367" s="10" t="str">
        <x:f>IF(F367=3,"All three",IF(F367=2,IF(C367="No","Volcano + heatmap",IF(D367="No","Colleague + heatmap","Colleague + volcano")),IF(C367="Yes","Colleague only",IF(D367="Yes","Volcano only","Heatmap only"))))</x:f>
        <x:v>Volcano only</x:v>
      </x:c>
      <x:c r="H367" s="10" t="str"/>
      <x:c r="I367" s="10" t="str"/>
      <x:c r="J367" s="10" t="str">
        <x:v>Lipid synthesis / metabolism</x:v>
      </x:c>
      <x:c r="K367" s="10" t="str">
        <x:v>infection_average_all_diets; infection_diet33; infection_diet50; infection_diet83</x:v>
      </x:c>
      <x:c r="L367" s="10" t="str"/>
      <x:c r="M367" s="10" t="str"/>
      <x:c r="N367" s="10" t="str"/>
    </x:row>
    <x:row r="368">
      <x:c r="A368" s="10" t="str">
        <x:v>LOC126335136</x:v>
      </x:c>
      <x:c r="B368" s="10" t="str">
        <x:v>esterase E4-like</x:v>
      </x:c>
      <x:c r="C368" s="19" t="str">
        <x:f>IF(COUNTIF('Colleague 115'!$A$2:$A$116,A368)&gt;0,"Yes","No")</x:f>
        <x:v>No</x:v>
      </x:c>
      <x:c r="D368" s="19" t="str">
        <x:f>IF(COUNTIF('Volcano 402'!$A$2:$A$403,A368)&gt;0,"Yes","No")</x:f>
        <x:v>Yes</x:v>
      </x:c>
      <x:c r="E368" s="19" t="str">
        <x:f>IF(COUNTIF('Heatmap 169'!$A$2:$A$170,A368)&gt;0,"Yes","No")</x:f>
        <x:v>No</x:v>
      </x:c>
      <x:c r="F368" s="19" t="n">
        <x:f>COUNTIF(C368:E368,"Yes")</x:f>
        <x:v>1</x:v>
      </x:c>
      <x:c r="G368" s="10" t="str">
        <x:f>IF(F368=3,"All three",IF(F368=2,IF(C368="No","Volcano + heatmap",IF(D368="No","Colleague + heatmap","Colleague + volcano")),IF(C368="Yes","Colleague only",IF(D368="Yes","Volcano only","Heatmap only"))))</x:f>
        <x:v>Volcano only</x:v>
      </x:c>
      <x:c r="H368" s="10" t="str"/>
      <x:c r="I368" s="10" t="str"/>
      <x:c r="J368" s="10" t="str">
        <x:v>Lipid synthesis / metabolism</x:v>
      </x:c>
      <x:c r="K368" s="10" t="str">
        <x:v>infection_average_all_diets; infection_diet50</x:v>
      </x:c>
      <x:c r="L368" s="10" t="str"/>
      <x:c r="M368" s="10" t="str"/>
      <x:c r="N368" s="10" t="str"/>
    </x:row>
    <x:row r="369">
      <x:c r="A369" s="10" t="str">
        <x:v>LOC126335140</x:v>
      </x:c>
      <x:c r="B369" s="10" t="str">
        <x:v>esterase E4-like</x:v>
      </x:c>
      <x:c r="C369" s="19" t="str">
        <x:f>IF(COUNTIF('Colleague 115'!$A$2:$A$116,A369)&gt;0,"Yes","No")</x:f>
        <x:v>No</x:v>
      </x:c>
      <x:c r="D369" s="19" t="str">
        <x:f>IF(COUNTIF('Volcano 402'!$A$2:$A$403,A369)&gt;0,"Yes","No")</x:f>
        <x:v>Yes</x:v>
      </x:c>
      <x:c r="E369" s="19" t="str">
        <x:f>IF(COUNTIF('Heatmap 169'!$A$2:$A$170,A369)&gt;0,"Yes","No")</x:f>
        <x:v>No</x:v>
      </x:c>
      <x:c r="F369" s="19" t="n">
        <x:f>COUNTIF(C369:E369,"Yes")</x:f>
        <x:v>1</x:v>
      </x:c>
      <x:c r="G369" s="10" t="str">
        <x:f>IF(F369=3,"All three",IF(F369=2,IF(C369="No","Volcano + heatmap",IF(D369="No","Colleague + heatmap","Colleague + volcano")),IF(C369="Yes","Colleague only",IF(D369="Yes","Volcano only","Heatmap only"))))</x:f>
        <x:v>Volcano only</x:v>
      </x:c>
      <x:c r="H369" s="10" t="str"/>
      <x:c r="I369" s="10" t="str"/>
      <x:c r="J369" s="10" t="str">
        <x:v>Lipid synthesis / metabolism</x:v>
      </x:c>
      <x:c r="K369" s="10" t="str">
        <x:v>infection_average_all_diets; infection_diet33; infection_diet50; infection_diet83</x:v>
      </x:c>
      <x:c r="L369" s="10" t="str"/>
      <x:c r="M369" s="10" t="str"/>
      <x:c r="N369" s="10" t="str"/>
    </x:row>
    <x:row r="370">
      <x:c r="A370" s="10" t="str">
        <x:v>LOC126335154</x:v>
      </x:c>
      <x:c r="B370" s="10" t="str">
        <x:v>sterol O-acyltransferase 2</x:v>
      </x:c>
      <x:c r="C370" s="19" t="str">
        <x:f>IF(COUNTIF('Colleague 115'!$A$2:$A$116,A370)&gt;0,"Yes","No")</x:f>
        <x:v>No</x:v>
      </x:c>
      <x:c r="D370" s="19" t="str">
        <x:f>IF(COUNTIF('Volcano 402'!$A$2:$A$403,A370)&gt;0,"Yes","No")</x:f>
        <x:v>Yes</x:v>
      </x:c>
      <x:c r="E370" s="19" t="str">
        <x:f>IF(COUNTIF('Heatmap 169'!$A$2:$A$170,A370)&gt;0,"Yes","No")</x:f>
        <x:v>No</x:v>
      </x:c>
      <x:c r="F370" s="19" t="n">
        <x:f>COUNTIF(C370:E370,"Yes")</x:f>
        <x:v>1</x:v>
      </x:c>
      <x:c r="G370" s="10" t="str">
        <x:f>IF(F370=3,"All three",IF(F370=2,IF(C370="No","Volcano + heatmap",IF(D370="No","Colleague + heatmap","Colleague + volcano")),IF(C370="Yes","Colleague only",IF(D370="Yes","Volcano only","Heatmap only"))))</x:f>
        <x:v>Volcano only</x:v>
      </x:c>
      <x:c r="H370" s="10" t="str"/>
      <x:c r="I370" s="10" t="str"/>
      <x:c r="J370" s="10" t="str">
        <x:v>Lipid synthesis / metabolism</x:v>
      </x:c>
      <x:c r="K370" s="10" t="str">
        <x:v>infection_average_all_diets; infection_diet50</x:v>
      </x:c>
      <x:c r="L370" s="10" t="str"/>
      <x:c r="M370" s="10" t="str"/>
      <x:c r="N370" s="10" t="str"/>
    </x:row>
    <x:row r="371">
      <x:c r="A371" s="10" t="str">
        <x:v>LOC126335155</x:v>
      </x:c>
      <x:c r="B371" s="10" t="str">
        <x:v>sterol O-acyltransferase 2-like</x:v>
      </x:c>
      <x:c r="C371" s="19" t="str">
        <x:f>IF(COUNTIF('Colleague 115'!$A$2:$A$116,A371)&gt;0,"Yes","No")</x:f>
        <x:v>No</x:v>
      </x:c>
      <x:c r="D371" s="19" t="str">
        <x:f>IF(COUNTIF('Volcano 402'!$A$2:$A$403,A371)&gt;0,"Yes","No")</x:f>
        <x:v>Yes</x:v>
      </x:c>
      <x:c r="E371" s="19" t="str">
        <x:f>IF(COUNTIF('Heatmap 169'!$A$2:$A$170,A371)&gt;0,"Yes","No")</x:f>
        <x:v>No</x:v>
      </x:c>
      <x:c r="F371" s="19" t="n">
        <x:f>COUNTIF(C371:E371,"Yes")</x:f>
        <x:v>1</x:v>
      </x:c>
      <x:c r="G371" s="10" t="str">
        <x:f>IF(F371=3,"All three",IF(F371=2,IF(C371="No","Volcano + heatmap",IF(D371="No","Colleague + heatmap","Colleague + volcano")),IF(C371="Yes","Colleague only",IF(D371="Yes","Volcano only","Heatmap only"))))</x:f>
        <x:v>Volcano only</x:v>
      </x:c>
      <x:c r="H371" s="10" t="str"/>
      <x:c r="I371" s="10" t="str"/>
      <x:c r="J371" s="10" t="str">
        <x:v>Lipid synthesis / metabolism</x:v>
      </x:c>
      <x:c r="K371" s="10" t="str">
        <x:v>infection_diet33</x:v>
      </x:c>
      <x:c r="L371" s="10" t="str"/>
      <x:c r="M371" s="10" t="str"/>
      <x:c r="N371" s="10" t="str"/>
    </x:row>
    <x:row r="372">
      <x:c r="A372" s="10" t="str">
        <x:v>LOC126335167</x:v>
      </x:c>
      <x:c r="B372" s="10" t="str">
        <x:v>serine protease inhibitor 88Ea-like</x:v>
      </x:c>
      <x:c r="C372" s="19" t="str">
        <x:f>IF(COUNTIF('Colleague 115'!$A$2:$A$116,A372)&gt;0,"Yes","No")</x:f>
        <x:v>Yes</x:v>
      </x:c>
      <x:c r="D372" s="19" t="str">
        <x:f>IF(COUNTIF('Volcano 402'!$A$2:$A$403,A372)&gt;0,"Yes","No")</x:f>
        <x:v>Yes</x:v>
      </x:c>
      <x:c r="E372" s="19" t="str">
        <x:f>IF(COUNTIF('Heatmap 169'!$A$2:$A$170,A372)&gt;0,"Yes","No")</x:f>
        <x:v>Yes</x:v>
      </x:c>
      <x:c r="F372" s="19" t="n">
        <x:f>COUNTIF(C372:E372,"Yes")</x:f>
        <x:v>3</x:v>
      </x:c>
      <x:c r="G372" s="10" t="str">
        <x:f>IF(F372=3,"All three",IF(F372=2,IF(C372="No","Volcano + heatmap",IF(D372="No","Colleague + heatmap","Colleague + volcano")),IF(C372="Yes","Colleague only",IF(D372="Yes","Volcano only","Heatmap only"))))</x:f>
        <x:v>All three</x:v>
      </x:c>
      <x:c r="H372" s="10" t="str">
        <x:v>Innate Immune Recognition &amp; Signaling</x:v>
      </x:c>
      <x:c r="I372" s="10" t="str">
        <x:v>Serine Protease Inhibitors (Serpins)</x:v>
      </x:c>
      <x:c r="J372" s="10" t="str">
        <x:v>Immune-related</x:v>
      </x:c>
      <x:c r="K372" s="10" t="str">
        <x:v>infected_diet83_vs33</x:v>
      </x:c>
      <x:c r="L372" s="10" t="str">
        <x:v>Functional candidate</x:v>
      </x:c>
      <x:c r="M372" s="10" t="str">
        <x:v>Immune-related</x:v>
      </x:c>
      <x:c r="N372" s="10" t="str">
        <x:v>Not DEG</x:v>
      </x:c>
    </x:row>
    <x:row r="373">
      <x:c r="A373" s="10" t="str">
        <x:v>LOC126335171</x:v>
      </x:c>
      <x:c r="B373" s="10" t="str">
        <x:v>very-long-chain (3R)-3-hydroxyacyl-CoA dehydratase 2</x:v>
      </x:c>
      <x:c r="C373" s="19" t="str">
        <x:f>IF(COUNTIF('Colleague 115'!$A$2:$A$116,A373)&gt;0,"Yes","No")</x:f>
        <x:v>No</x:v>
      </x:c>
      <x:c r="D373" s="19" t="str">
        <x:f>IF(COUNTIF('Volcano 402'!$A$2:$A$403,A373)&gt;0,"Yes","No")</x:f>
        <x:v>Yes</x:v>
      </x:c>
      <x:c r="E373" s="19" t="str">
        <x:f>IF(COUNTIF('Heatmap 169'!$A$2:$A$170,A373)&gt;0,"Yes","No")</x:f>
        <x:v>No</x:v>
      </x:c>
      <x:c r="F373" s="19" t="n">
        <x:f>COUNTIF(C373:E373,"Yes")</x:f>
        <x:v>1</x:v>
      </x:c>
      <x:c r="G373" s="10" t="str">
        <x:f>IF(F373=3,"All three",IF(F373=2,IF(C373="No","Volcano + heatmap",IF(D373="No","Colleague + heatmap","Colleague + volcano")),IF(C373="Yes","Colleague only",IF(D373="Yes","Volcano only","Heatmap only"))))</x:f>
        <x:v>Volcano only</x:v>
      </x:c>
      <x:c r="H373" s="10" t="str"/>
      <x:c r="I373" s="10" t="str"/>
      <x:c r="J373" s="10" t="str">
        <x:v>Lipid synthesis / metabolism</x:v>
      </x:c>
      <x:c r="K373" s="10" t="str">
        <x:v>infection_diet50</x:v>
      </x:c>
      <x:c r="L373" s="10" t="str"/>
      <x:c r="M373" s="10" t="str"/>
      <x:c r="N373" s="10" t="str"/>
    </x:row>
    <x:row r="374">
      <x:c r="A374" s="10" t="str">
        <x:v>LOC126335187</x:v>
      </x:c>
      <x:c r="B374" s="10" t="str">
        <x:v>esterase E4-like</x:v>
      </x:c>
      <x:c r="C374" s="19" t="str">
        <x:f>IF(COUNTIF('Colleague 115'!$A$2:$A$116,A374)&gt;0,"Yes","No")</x:f>
        <x:v>No</x:v>
      </x:c>
      <x:c r="D374" s="19" t="str">
        <x:f>IF(COUNTIF('Volcano 402'!$A$2:$A$403,A374)&gt;0,"Yes","No")</x:f>
        <x:v>Yes</x:v>
      </x:c>
      <x:c r="E374" s="19" t="str">
        <x:f>IF(COUNTIF('Heatmap 169'!$A$2:$A$170,A374)&gt;0,"Yes","No")</x:f>
        <x:v>No</x:v>
      </x:c>
      <x:c r="F374" s="19" t="n">
        <x:f>COUNTIF(C374:E374,"Yes")</x:f>
        <x:v>1</x:v>
      </x:c>
      <x:c r="G374" s="10" t="str">
        <x:f>IF(F374=3,"All three",IF(F374=2,IF(C374="No","Volcano + heatmap",IF(D374="No","Colleague + heatmap","Colleague + volcano")),IF(C374="Yes","Colleague only",IF(D374="Yes","Volcano only","Heatmap only"))))</x:f>
        <x:v>Volcano only</x:v>
      </x:c>
      <x:c r="H374" s="10" t="str"/>
      <x:c r="I374" s="10" t="str"/>
      <x:c r="J374" s="10" t="str">
        <x:v>Lipid synthesis / metabolism</x:v>
      </x:c>
      <x:c r="K374" s="10" t="str">
        <x:v>infection_average_all_diets; infection_diet50; infection_diet83</x:v>
      </x:c>
      <x:c r="L374" s="10" t="str"/>
      <x:c r="M374" s="10" t="str"/>
      <x:c r="N374" s="10" t="str"/>
    </x:row>
    <x:row r="375">
      <x:c r="A375" s="10" t="str">
        <x:v>LOC126335288</x:v>
      </x:c>
      <x:c r="B375" s="10" t="str">
        <x:v>polypeptide N-acetylgalactosaminyltransferase 3-like</x:v>
      </x:c>
      <x:c r="C375" s="19" t="str">
        <x:f>IF(COUNTIF('Colleague 115'!$A$2:$A$116,A375)&gt;0,"Yes","No")</x:f>
        <x:v>No</x:v>
      </x:c>
      <x:c r="D375" s="19" t="str">
        <x:f>IF(COUNTIF('Volcano 402'!$A$2:$A$403,A375)&gt;0,"Yes","No")</x:f>
        <x:v>Yes</x:v>
      </x:c>
      <x:c r="E375" s="19" t="str">
        <x:f>IF(COUNTIF('Heatmap 169'!$A$2:$A$170,A375)&gt;0,"Yes","No")</x:f>
        <x:v>No</x:v>
      </x:c>
      <x:c r="F375" s="19" t="n">
        <x:f>COUNTIF(C375:E375,"Yes")</x:f>
        <x:v>1</x:v>
      </x:c>
      <x:c r="G375" s="10" t="str">
        <x:f>IF(F375=3,"All three",IF(F375=2,IF(C375="No","Volcano + heatmap",IF(D375="No","Colleague + heatmap","Colleague + volcano")),IF(C375="Yes","Colleague only",IF(D375="Yes","Volcano only","Heatmap only"))))</x:f>
        <x:v>Volcano only</x:v>
      </x:c>
      <x:c r="H375" s="10" t="str"/>
      <x:c r="I375" s="10" t="str"/>
      <x:c r="J375" s="10" t="str">
        <x:v>Immune-related</x:v>
      </x:c>
      <x:c r="K375" s="10" t="str">
        <x:v>infection_average_all_diets; infection_diet33; infection_diet50; infection_diet83</x:v>
      </x:c>
      <x:c r="L375" s="10" t="str"/>
      <x:c r="M375" s="10" t="str"/>
      <x:c r="N375" s="10" t="str"/>
    </x:row>
    <x:row r="376">
      <x:c r="A376" s="10" t="str">
        <x:v>LOC126335291</x:v>
      </x:c>
      <x:c r="B376" s="10" t="str">
        <x:v>polypeptide N-acetylgalactosaminyltransferase 5-like</x:v>
      </x:c>
      <x:c r="C376" s="19" t="str">
        <x:f>IF(COUNTIF('Colleague 115'!$A$2:$A$116,A376)&gt;0,"Yes","No")</x:f>
        <x:v>No</x:v>
      </x:c>
      <x:c r="D376" s="19" t="str">
        <x:f>IF(COUNTIF('Volcano 402'!$A$2:$A$403,A376)&gt;0,"Yes","No")</x:f>
        <x:v>Yes</x:v>
      </x:c>
      <x:c r="E376" s="19" t="str">
        <x:f>IF(COUNTIF('Heatmap 169'!$A$2:$A$170,A376)&gt;0,"Yes","No")</x:f>
        <x:v>No</x:v>
      </x:c>
      <x:c r="F376" s="19" t="n">
        <x:f>COUNTIF(C376:E376,"Yes")</x:f>
        <x:v>1</x:v>
      </x:c>
      <x:c r="G376" s="10" t="str">
        <x:f>IF(F376=3,"All three",IF(F376=2,IF(C376="No","Volcano + heatmap",IF(D376="No","Colleague + heatmap","Colleague + volcano")),IF(C376="Yes","Colleague only",IF(D376="Yes","Volcano only","Heatmap only"))))</x:f>
        <x:v>Volcano only</x:v>
      </x:c>
      <x:c r="H376" s="10" t="str"/>
      <x:c r="I376" s="10" t="str"/>
      <x:c r="J376" s="10" t="str">
        <x:v>Immune-related</x:v>
      </x:c>
      <x:c r="K376" s="10" t="str">
        <x:v>infection_diet33</x:v>
      </x:c>
      <x:c r="L376" s="10" t="str"/>
      <x:c r="M376" s="10" t="str"/>
      <x:c r="N376" s="10" t="str"/>
    </x:row>
    <x:row r="377">
      <x:c r="A377" s="10" t="str">
        <x:v>LOC126335309</x:v>
      </x:c>
      <x:c r="B377" s="10" t="str">
        <x:v>acyl-CoA Delta-9 desaturase-like</x:v>
      </x:c>
      <x:c r="C377" s="19" t="str">
        <x:f>IF(COUNTIF('Colleague 115'!$A$2:$A$116,A377)&gt;0,"Yes","No")</x:f>
        <x:v>No</x:v>
      </x:c>
      <x:c r="D377" s="19" t="str">
        <x:f>IF(COUNTIF('Volcano 402'!$A$2:$A$403,A377)&gt;0,"Yes","No")</x:f>
        <x:v>Yes</x:v>
      </x:c>
      <x:c r="E377" s="19" t="str">
        <x:f>IF(COUNTIF('Heatmap 169'!$A$2:$A$170,A377)&gt;0,"Yes","No")</x:f>
        <x:v>No</x:v>
      </x:c>
      <x:c r="F377" s="19" t="n">
        <x:f>COUNTIF(C377:E377,"Yes")</x:f>
        <x:v>1</x:v>
      </x:c>
      <x:c r="G377" s="10" t="str">
        <x:f>IF(F377=3,"All three",IF(F377=2,IF(C377="No","Volcano + heatmap",IF(D377="No","Colleague + heatmap","Colleague + volcano")),IF(C377="Yes","Colleague only",IF(D377="Yes","Volcano only","Heatmap only"))))</x:f>
        <x:v>Volcano only</x:v>
      </x:c>
      <x:c r="H377" s="10" t="str"/>
      <x:c r="I377" s="10" t="str"/>
      <x:c r="J377" s="10" t="str">
        <x:v>Lipid synthesis / metabolism</x:v>
      </x:c>
      <x:c r="K377" s="10" t="str">
        <x:v>infection_average_all_diets; infection_diet33; infection_diet50; infection_diet83</x:v>
      </x:c>
      <x:c r="L377" s="10" t="str"/>
      <x:c r="M377" s="10" t="str"/>
      <x:c r="N377" s="10" t="str"/>
    </x:row>
    <x:row r="378">
      <x:c r="A378" s="10" t="str">
        <x:v>LOC126335345</x:v>
      </x:c>
      <x:c r="B378" s="10" t="str">
        <x:v>neuroligin-2-like</x:v>
      </x:c>
      <x:c r="C378" s="19" t="str">
        <x:f>IF(COUNTIF('Colleague 115'!$A$2:$A$116,A378)&gt;0,"Yes","No")</x:f>
        <x:v>No</x:v>
      </x:c>
      <x:c r="D378" s="19" t="str">
        <x:f>IF(COUNTIF('Volcano 402'!$A$2:$A$403,A378)&gt;0,"Yes","No")</x:f>
        <x:v>Yes</x:v>
      </x:c>
      <x:c r="E378" s="19" t="str">
        <x:f>IF(COUNTIF('Heatmap 169'!$A$2:$A$170,A378)&gt;0,"Yes","No")</x:f>
        <x:v>No</x:v>
      </x:c>
      <x:c r="F378" s="19" t="n">
        <x:f>COUNTIF(C378:E378,"Yes")</x:f>
        <x:v>1</x:v>
      </x:c>
      <x:c r="G378" s="10" t="str">
        <x:f>IF(F378=3,"All three",IF(F378=2,IF(C378="No","Volcano + heatmap",IF(D378="No","Colleague + heatmap","Colleague + volcano")),IF(C378="Yes","Colleague only",IF(D378="Yes","Volcano only","Heatmap only"))))</x:f>
        <x:v>Volcano only</x:v>
      </x:c>
      <x:c r="H378" s="10" t="str"/>
      <x:c r="I378" s="10" t="str"/>
      <x:c r="J378" s="10" t="str">
        <x:v>Detoxification / stress</x:v>
      </x:c>
      <x:c r="K378" s="10" t="str">
        <x:v>infection_average_all_diets; infection_diet33; infection_diet50</x:v>
      </x:c>
      <x:c r="L378" s="10" t="str"/>
      <x:c r="M378" s="10" t="str"/>
      <x:c r="N378" s="10" t="str"/>
    </x:row>
    <x:row r="379">
      <x:c r="A379" s="10" t="str">
        <x:v>LOC126335348</x:v>
      </x:c>
      <x:c r="B379" s="10" t="str">
        <x:v>-</x:v>
      </x:c>
      <x:c r="C379" s="19" t="str">
        <x:f>IF(COUNTIF('Colleague 115'!$A$2:$A$116,A379)&gt;0,"Yes","No")</x:f>
        <x:v>No</x:v>
      </x:c>
      <x:c r="D379" s="19" t="str">
        <x:f>IF(COUNTIF('Volcano 402'!$A$2:$A$403,A379)&gt;0,"Yes","No")</x:f>
        <x:v>No</x:v>
      </x:c>
      <x:c r="E379" s="19" t="str">
        <x:f>IF(COUNTIF('Heatmap 169'!$A$2:$A$170,A379)&gt;0,"Yes","No")</x:f>
        <x:v>Yes</x:v>
      </x:c>
      <x:c r="F379" s="19" t="n">
        <x:f>COUNTIF(C379:E379,"Yes")</x:f>
        <x:v>1</x:v>
      </x:c>
      <x:c r="G379" s="10" t="str">
        <x:f>IF(F379=3,"All three",IF(F379=2,IF(C379="No","Volcano + heatmap",IF(D379="No","Colleague + heatmap","Colleague + volcano")),IF(C379="Yes","Colleague only",IF(D379="Yes","Volcano only","Heatmap only"))))</x:f>
        <x:v>Heatmap only</x:v>
      </x:c>
      <x:c r="H379" s="10" t="str"/>
      <x:c r="I379" s="10" t="str"/>
      <x:c r="J379" s="10" t="str"/>
      <x:c r="K379" s="10" t="str"/>
      <x:c r="L379" s="10" t="str">
        <x:v>Top DEG</x:v>
      </x:c>
      <x:c r="M379" s="10" t="str">
        <x:v>Other strong DEG</x:v>
      </x:c>
      <x:c r="N379" s="10" t="str">
        <x:v>DEG</x:v>
      </x:c>
    </x:row>
    <x:row r="380">
      <x:c r="A380" s="10" t="str">
        <x:v>LOC126335373</x:v>
      </x:c>
      <x:c r="B380" s="10" t="str">
        <x:v>phospholipid transfer protein C2CD2L</x:v>
      </x:c>
      <x:c r="C380" s="19" t="str">
        <x:f>IF(COUNTIF('Colleague 115'!$A$2:$A$116,A380)&gt;0,"Yes","No")</x:f>
        <x:v>No</x:v>
      </x:c>
      <x:c r="D380" s="19" t="str">
        <x:f>IF(COUNTIF('Volcano 402'!$A$2:$A$403,A380)&gt;0,"Yes","No")</x:f>
        <x:v>Yes</x:v>
      </x:c>
      <x:c r="E380" s="19" t="str">
        <x:f>IF(COUNTIF('Heatmap 169'!$A$2:$A$170,A380)&gt;0,"Yes","No")</x:f>
        <x:v>No</x:v>
      </x:c>
      <x:c r="F380" s="19" t="n">
        <x:f>COUNTIF(C380:E380,"Yes")</x:f>
        <x:v>1</x:v>
      </x:c>
      <x:c r="G380" s="10" t="str">
        <x:f>IF(F380=3,"All three",IF(F380=2,IF(C380="No","Volcano + heatmap",IF(D380="No","Colleague + heatmap","Colleague + volcano")),IF(C380="Yes","Colleague only",IF(D380="Yes","Volcano only","Heatmap only"))))</x:f>
        <x:v>Volcano only</x:v>
      </x:c>
      <x:c r="H380" s="10" t="str"/>
      <x:c r="I380" s="10" t="str"/>
      <x:c r="J380" s="10" t="str">
        <x:v>Lipid synthesis / metabolism</x:v>
      </x:c>
      <x:c r="K380" s="10" t="str">
        <x:v>infection_diet50</x:v>
      </x:c>
      <x:c r="L380" s="10" t="str"/>
      <x:c r="M380" s="10" t="str"/>
      <x:c r="N380" s="10" t="str"/>
    </x:row>
    <x:row r="381">
      <x:c r="A381" s="10" t="str">
        <x:v>LOC126335404</x:v>
      </x:c>
      <x:c r="B381" s="10" t="str">
        <x:v>serpin B6-like</x:v>
      </x:c>
      <x:c r="C381" s="19" t="str">
        <x:f>IF(COUNTIF('Colleague 115'!$A$2:$A$116,A381)&gt;0,"Yes","No")</x:f>
        <x:v>Yes</x:v>
      </x:c>
      <x:c r="D381" s="19" t="str">
        <x:f>IF(COUNTIF('Volcano 402'!$A$2:$A$403,A381)&gt;0,"Yes","No")</x:f>
        <x:v>Yes</x:v>
      </x:c>
      <x:c r="E381" s="19" t="str">
        <x:f>IF(COUNTIF('Heatmap 169'!$A$2:$A$170,A381)&gt;0,"Yes","No")</x:f>
        <x:v>No</x:v>
      </x:c>
      <x:c r="F381" s="19" t="n">
        <x:f>COUNTIF(C381:E381,"Yes")</x:f>
        <x:v>2</x:v>
      </x:c>
      <x:c r="G381" s="10" t="str">
        <x:f>IF(F381=3,"All three",IF(F381=2,IF(C381="No","Volcano + heatmap",IF(D381="No","Colleague + heatmap","Colleague + volcano")),IF(C381="Yes","Colleague only",IF(D381="Yes","Volcano only","Heatmap only"))))</x:f>
        <x:v>Colleague + volcano</x:v>
      </x:c>
      <x:c r="H381" s="10" t="str">
        <x:v>Innate Immune Recognition &amp; Signaling</x:v>
      </x:c>
      <x:c r="I381" s="10" t="str">
        <x:v>Serine Protease Inhibitors (Serpins)</x:v>
      </x:c>
      <x:c r="J381" s="10" t="str">
        <x:v>Immune-related</x:v>
      </x:c>
      <x:c r="K381" s="10" t="str">
        <x:v>infection_diet50</x:v>
      </x:c>
      <x:c r="L381" s="10" t="str"/>
      <x:c r="M381" s="10" t="str"/>
      <x:c r="N381" s="10" t="str"/>
    </x:row>
    <x:row r="382">
      <x:c r="A382" s="10" t="str">
        <x:v>LOC126335463</x:v>
      </x:c>
      <x:c r="B382" s="10" t="str">
        <x:v>serpin B8-like</x:v>
      </x:c>
      <x:c r="C382" s="19" t="str">
        <x:f>IF(COUNTIF('Colleague 115'!$A$2:$A$116,A382)&gt;0,"Yes","No")</x:f>
        <x:v>Yes</x:v>
      </x:c>
      <x:c r="D382" s="19" t="str">
        <x:f>IF(COUNTIF('Volcano 402'!$A$2:$A$403,A382)&gt;0,"Yes","No")</x:f>
        <x:v>Yes</x:v>
      </x:c>
      <x:c r="E382" s="19" t="str">
        <x:f>IF(COUNTIF('Heatmap 169'!$A$2:$A$170,A382)&gt;0,"Yes","No")</x:f>
        <x:v>Yes</x:v>
      </x:c>
      <x:c r="F382" s="19" t="n">
        <x:f>COUNTIF(C382:E382,"Yes")</x:f>
        <x:v>3</x:v>
      </x:c>
      <x:c r="G382" s="10" t="str">
        <x:f>IF(F382=3,"All three",IF(F382=2,IF(C382="No","Volcano + heatmap",IF(D382="No","Colleague + heatmap","Colleague + volcano")),IF(C382="Yes","Colleague only",IF(D382="Yes","Volcano only","Heatmap only"))))</x:f>
        <x:v>All three</x:v>
      </x:c>
      <x:c r="H382" s="10" t="str">
        <x:v>Innate Immune Recognition &amp; Signaling</x:v>
      </x:c>
      <x:c r="I382" s="10" t="str">
        <x:v>Serine Protease Inhibitors (Serpins)</x:v>
      </x:c>
      <x:c r="J382" s="10" t="str">
        <x:v>Immune-related</x:v>
      </x:c>
      <x:c r="K382" s="10" t="str">
        <x:v>infection_average_all_diets; infection_diet33; infection_diet50; infection_diet83</x:v>
      </x:c>
      <x:c r="L382" s="10" t="str">
        <x:v>Top DEG</x:v>
      </x:c>
      <x:c r="M382" s="10" t="str">
        <x:v>Immune-related</x:v>
      </x:c>
      <x:c r="N382" s="10" t="str">
        <x:v>DEG</x:v>
      </x:c>
    </x:row>
    <x:row r="383">
      <x:c r="A383" s="10" t="str">
        <x:v>LOC126335465</x:v>
      </x:c>
      <x:c r="B383" s="10" t="str">
        <x:v>serpin B6-like</x:v>
      </x:c>
      <x:c r="C383" s="19" t="str">
        <x:f>IF(COUNTIF('Colleague 115'!$A$2:$A$116,A383)&gt;0,"Yes","No")</x:f>
        <x:v>Yes</x:v>
      </x:c>
      <x:c r="D383" s="19" t="str">
        <x:f>IF(COUNTIF('Volcano 402'!$A$2:$A$403,A383)&gt;0,"Yes","No")</x:f>
        <x:v>Yes</x:v>
      </x:c>
      <x:c r="E383" s="19" t="str">
        <x:f>IF(COUNTIF('Heatmap 169'!$A$2:$A$170,A383)&gt;0,"Yes","No")</x:f>
        <x:v>No</x:v>
      </x:c>
      <x:c r="F383" s="19" t="n">
        <x:f>COUNTIF(C383:E383,"Yes")</x:f>
        <x:v>2</x:v>
      </x:c>
      <x:c r="G383" s="10" t="str">
        <x:f>IF(F383=3,"All three",IF(F383=2,IF(C383="No","Volcano + heatmap",IF(D383="No","Colleague + heatmap","Colleague + volcano")),IF(C383="Yes","Colleague only",IF(D383="Yes","Volcano only","Heatmap only"))))</x:f>
        <x:v>Colleague + volcano</x:v>
      </x:c>
      <x:c r="H383" s="10" t="str">
        <x:v>Innate Immune Recognition &amp; Signaling</x:v>
      </x:c>
      <x:c r="I383" s="10" t="str">
        <x:v>Serine Protease Inhibitors (Serpins)</x:v>
      </x:c>
      <x:c r="J383" s="10" t="str">
        <x:v>Immune-related</x:v>
      </x:c>
      <x:c r="K383" s="10" t="str">
        <x:v>infection_average_all_diets; infection_diet33</x:v>
      </x:c>
      <x:c r="L383" s="10" t="str"/>
      <x:c r="M383" s="10" t="str"/>
      <x:c r="N383" s="10" t="str"/>
    </x:row>
    <x:row r="384">
      <x:c r="A384" s="10" t="str">
        <x:v>LOC126335467</x:v>
      </x:c>
      <x:c r="B384" s="10" t="str">
        <x:v>leukocyte elastase inhibitor-like</x:v>
      </x:c>
      <x:c r="C384" s="19" t="str">
        <x:f>IF(COUNTIF('Colleague 115'!$A$2:$A$116,A384)&gt;0,"Yes","No")</x:f>
        <x:v>Yes</x:v>
      </x:c>
      <x:c r="D384" s="19" t="str">
        <x:f>IF(COUNTIF('Volcano 402'!$A$2:$A$403,A384)&gt;0,"Yes","No")</x:f>
        <x:v>Yes</x:v>
      </x:c>
      <x:c r="E384" s="19" t="str">
        <x:f>IF(COUNTIF('Heatmap 169'!$A$2:$A$170,A384)&gt;0,"Yes","No")</x:f>
        <x:v>No</x:v>
      </x:c>
      <x:c r="F384" s="19" t="n">
        <x:f>COUNTIF(C384:E384,"Yes")</x:f>
        <x:v>2</x:v>
      </x:c>
      <x:c r="G384" s="10" t="str">
        <x:f>IF(F384=3,"All three",IF(F384=2,IF(C384="No","Volcano + heatmap",IF(D384="No","Colleague + heatmap","Colleague + volcano")),IF(C384="Yes","Colleague only",IF(D384="Yes","Volcano only","Heatmap only"))))</x:f>
        <x:v>Colleague + volcano</x:v>
      </x:c>
      <x:c r="H384" s="10" t="str">
        <x:v>Innate Immune Recognition &amp; Signaling</x:v>
      </x:c>
      <x:c r="I384" s="10" t="str">
        <x:v>Serine Protease Inhibitors (Serpins)</x:v>
      </x:c>
      <x:c r="J384" s="10" t="str">
        <x:v>Immune-related</x:v>
      </x:c>
      <x:c r="K384" s="10" t="str">
        <x:v>control_diet83_vs50; infection_average_all_diets; infection_diet50</x:v>
      </x:c>
      <x:c r="L384" s="10" t="str"/>
      <x:c r="M384" s="10" t="str"/>
      <x:c r="N384" s="10" t="str"/>
    </x:row>
    <x:row r="385">
      <x:c r="A385" s="10" t="str">
        <x:v>LOC126335468</x:v>
      </x:c>
      <x:c r="B385" s="10" t="str">
        <x:v>serpin B6-like</x:v>
      </x:c>
      <x:c r="C385" s="19" t="str">
        <x:f>IF(COUNTIF('Colleague 115'!$A$2:$A$116,A385)&gt;0,"Yes","No")</x:f>
        <x:v>Yes</x:v>
      </x:c>
      <x:c r="D385" s="19" t="str">
        <x:f>IF(COUNTIF('Volcano 402'!$A$2:$A$403,A385)&gt;0,"Yes","No")</x:f>
        <x:v>Yes</x:v>
      </x:c>
      <x:c r="E385" s="19" t="str">
        <x:f>IF(COUNTIF('Heatmap 169'!$A$2:$A$170,A385)&gt;0,"Yes","No")</x:f>
        <x:v>Yes</x:v>
      </x:c>
      <x:c r="F385" s="19" t="n">
        <x:f>COUNTIF(C385:E385,"Yes")</x:f>
        <x:v>3</x:v>
      </x:c>
      <x:c r="G385" s="10" t="str">
        <x:f>IF(F385=3,"All three",IF(F385=2,IF(C385="No","Volcano + heatmap",IF(D385="No","Colleague + heatmap","Colleague + volcano")),IF(C385="Yes","Colleague only",IF(D385="Yes","Volcano only","Heatmap only"))))</x:f>
        <x:v>All three</x:v>
      </x:c>
      <x:c r="H385" s="10" t="str">
        <x:v>Innate Immune Recognition &amp; Signaling</x:v>
      </x:c>
      <x:c r="I385" s="10" t="str">
        <x:v>Serine Protease Inhibitors (Serpins)</x:v>
      </x:c>
      <x:c r="J385" s="10" t="str">
        <x:v>Immune-related</x:v>
      </x:c>
      <x:c r="K385" s="10" t="str">
        <x:v>control_diet83_vs50; infection_average_all_diets; infection_diet33; infection_diet50</x:v>
      </x:c>
      <x:c r="L385" s="10" t="str">
        <x:v>Functional candidate</x:v>
      </x:c>
      <x:c r="M385" s="10" t="str">
        <x:v>Immune-related</x:v>
      </x:c>
      <x:c r="N385" s="10" t="str">
        <x:v>DEG</x:v>
      </x:c>
    </x:row>
    <x:row r="386">
      <x:c r="A386" s="10" t="str">
        <x:v>LOC126335469</x:v>
      </x:c>
      <x:c r="B386" s="10" t="str">
        <x:v>Belongs to the serpin family</x:v>
      </x:c>
      <x:c r="C386" s="19" t="str">
        <x:f>IF(COUNTIF('Colleague 115'!$A$2:$A$116,A386)&gt;0,"Yes","No")</x:f>
        <x:v>No</x:v>
      </x:c>
      <x:c r="D386" s="19" t="str">
        <x:f>IF(COUNTIF('Volcano 402'!$A$2:$A$403,A386)&gt;0,"Yes","No")</x:f>
        <x:v>No</x:v>
      </x:c>
      <x:c r="E386" s="19" t="str">
        <x:f>IF(COUNTIF('Heatmap 169'!$A$2:$A$170,A386)&gt;0,"Yes","No")</x:f>
        <x:v>Yes</x:v>
      </x:c>
      <x:c r="F386" s="19" t="n">
        <x:f>COUNTIF(C386:E386,"Yes")</x:f>
        <x:v>1</x:v>
      </x:c>
      <x:c r="G386" s="10" t="str">
        <x:f>IF(F386=3,"All three",IF(F386=2,IF(C386="No","Volcano + heatmap",IF(D386="No","Colleague + heatmap","Colleague + volcano")),IF(C386="Yes","Colleague only",IF(D386="Yes","Volcano only","Heatmap only"))))</x:f>
        <x:v>Heatmap only</x:v>
      </x:c>
      <x:c r="H386" s="10" t="str"/>
      <x:c r="I386" s="10" t="str"/>
      <x:c r="J386" s="10" t="str"/>
      <x:c r="K386" s="10" t="str"/>
      <x:c r="L386" s="10" t="str">
        <x:v>Functional candidate</x:v>
      </x:c>
      <x:c r="M386" s="10" t="str">
        <x:v>Immune-related</x:v>
      </x:c>
      <x:c r="N386" s="10" t="str">
        <x:v>Not DEG</x:v>
      </x:c>
    </x:row>
    <x:row r="387">
      <x:c r="A387" s="10" t="str">
        <x:v>LOC126335470</x:v>
      </x:c>
      <x:c r="B387" s="10" t="str">
        <x:v>leukocyte elastase inhibitor-like</x:v>
      </x:c>
      <x:c r="C387" s="19" t="str">
        <x:f>IF(COUNTIF('Colleague 115'!$A$2:$A$116,A387)&gt;0,"Yes","No")</x:f>
        <x:v>Yes</x:v>
      </x:c>
      <x:c r="D387" s="19" t="str">
        <x:f>IF(COUNTIF('Volcano 402'!$A$2:$A$403,A387)&gt;0,"Yes","No")</x:f>
        <x:v>Yes</x:v>
      </x:c>
      <x:c r="E387" s="19" t="str">
        <x:f>IF(COUNTIF('Heatmap 169'!$A$2:$A$170,A387)&gt;0,"Yes","No")</x:f>
        <x:v>No</x:v>
      </x:c>
      <x:c r="F387" s="19" t="n">
        <x:f>COUNTIF(C387:E387,"Yes")</x:f>
        <x:v>2</x:v>
      </x:c>
      <x:c r="G387" s="10" t="str">
        <x:f>IF(F387=3,"All three",IF(F387=2,IF(C387="No","Volcano + heatmap",IF(D387="No","Colleague + heatmap","Colleague + volcano")),IF(C387="Yes","Colleague only",IF(D387="Yes","Volcano only","Heatmap only"))))</x:f>
        <x:v>Colleague + volcano</x:v>
      </x:c>
      <x:c r="H387" s="10" t="str">
        <x:v>Innate Immune Recognition &amp; Signaling</x:v>
      </x:c>
      <x:c r="I387" s="10" t="str">
        <x:v>Serine Protease Inhibitors (Serpins)</x:v>
      </x:c>
      <x:c r="J387" s="10" t="str">
        <x:v>Immune-related</x:v>
      </x:c>
      <x:c r="K387" s="10" t="str">
        <x:v>infection_average_all_diets; infection_diet33; infection_diet50; infection_diet83</x:v>
      </x:c>
      <x:c r="L387" s="10" t="str"/>
      <x:c r="M387" s="10" t="str"/>
      <x:c r="N387" s="10" t="str"/>
    </x:row>
    <x:row r="388">
      <x:c r="A388" s="10" t="str">
        <x:v>LOC126335471</x:v>
      </x:c>
      <x:c r="B388" s="10" t="str">
        <x:v>serpin B6-like</x:v>
      </x:c>
      <x:c r="C388" s="19" t="str">
        <x:f>IF(COUNTIF('Colleague 115'!$A$2:$A$116,A388)&gt;0,"Yes","No")</x:f>
        <x:v>Yes</x:v>
      </x:c>
      <x:c r="D388" s="19" t="str">
        <x:f>IF(COUNTIF('Volcano 402'!$A$2:$A$403,A388)&gt;0,"Yes","No")</x:f>
        <x:v>Yes</x:v>
      </x:c>
      <x:c r="E388" s="19" t="str">
        <x:f>IF(COUNTIF('Heatmap 169'!$A$2:$A$170,A388)&gt;0,"Yes","No")</x:f>
        <x:v>No</x:v>
      </x:c>
      <x:c r="F388" s="19" t="n">
        <x:f>COUNTIF(C388:E388,"Yes")</x:f>
        <x:v>2</x:v>
      </x:c>
      <x:c r="G388" s="10" t="str">
        <x:f>IF(F388=3,"All three",IF(F388=2,IF(C388="No","Volcano + heatmap",IF(D388="No","Colleague + heatmap","Colleague + volcano")),IF(C388="Yes","Colleague only",IF(D388="Yes","Volcano only","Heatmap only"))))</x:f>
        <x:v>Colleague + volcano</x:v>
      </x:c>
      <x:c r="H388" s="10" t="str">
        <x:v>Innate Immune Recognition &amp; Signaling</x:v>
      </x:c>
      <x:c r="I388" s="10" t="str">
        <x:v>Serine Protease Inhibitors (Serpins)</x:v>
      </x:c>
      <x:c r="J388" s="10" t="str">
        <x:v>Immune-related</x:v>
      </x:c>
      <x:c r="K388" s="10" t="str">
        <x:v>infection_diet50</x:v>
      </x:c>
      <x:c r="L388" s="10" t="str"/>
      <x:c r="M388" s="10" t="str"/>
      <x:c r="N388" s="10" t="str"/>
    </x:row>
    <x:row r="389">
      <x:c r="A389" s="10" t="str">
        <x:v>LOC126335472</x:v>
      </x:c>
      <x:c r="B389" s="10" t="str">
        <x:v>serpin B4-like</x:v>
      </x:c>
      <x:c r="C389" s="19" t="str">
        <x:f>IF(COUNTIF('Colleague 115'!$A$2:$A$116,A389)&gt;0,"Yes","No")</x:f>
        <x:v>Yes</x:v>
      </x:c>
      <x:c r="D389" s="19" t="str">
        <x:f>IF(COUNTIF('Volcano 402'!$A$2:$A$403,A389)&gt;0,"Yes","No")</x:f>
        <x:v>Yes</x:v>
      </x:c>
      <x:c r="E389" s="19" t="str">
        <x:f>IF(COUNTIF('Heatmap 169'!$A$2:$A$170,A389)&gt;0,"Yes","No")</x:f>
        <x:v>No</x:v>
      </x:c>
      <x:c r="F389" s="19" t="n">
        <x:f>COUNTIF(C389:E389,"Yes")</x:f>
        <x:v>2</x:v>
      </x:c>
      <x:c r="G389" s="10" t="str">
        <x:f>IF(F389=3,"All three",IF(F389=2,IF(C389="No","Volcano + heatmap",IF(D389="No","Colleague + heatmap","Colleague + volcano")),IF(C389="Yes","Colleague only",IF(D389="Yes","Volcano only","Heatmap only"))))</x:f>
        <x:v>Colleague + volcano</x:v>
      </x:c>
      <x:c r="H389" s="10" t="str">
        <x:v>Innate Immune Recognition &amp; Signaling</x:v>
      </x:c>
      <x:c r="I389" s="10" t="str">
        <x:v>Serine Protease Inhibitors (Serpins)</x:v>
      </x:c>
      <x:c r="J389" s="10" t="str">
        <x:v>Immune-related</x:v>
      </x:c>
      <x:c r="K389" s="10" t="str">
        <x:v>infection_average_all_diets; infection_diet33; infection_diet50; infection_diet83</x:v>
      </x:c>
      <x:c r="L389" s="10" t="str"/>
      <x:c r="M389" s="10" t="str"/>
      <x:c r="N389" s="10" t="str"/>
    </x:row>
    <x:row r="390">
      <x:c r="A390" s="10" t="str">
        <x:v>LOC126335544</x:v>
      </x:c>
      <x:c r="B390" s="10" t="str">
        <x:v>leukocyte elastase inhibitor-like</x:v>
      </x:c>
      <x:c r="C390" s="19" t="str">
        <x:f>IF(COUNTIF('Colleague 115'!$A$2:$A$116,A390)&gt;0,"Yes","No")</x:f>
        <x:v>Yes</x:v>
      </x:c>
      <x:c r="D390" s="19" t="str">
        <x:f>IF(COUNTIF('Volcano 402'!$A$2:$A$403,A390)&gt;0,"Yes","No")</x:f>
        <x:v>Yes</x:v>
      </x:c>
      <x:c r="E390" s="19" t="str">
        <x:f>IF(COUNTIF('Heatmap 169'!$A$2:$A$170,A390)&gt;0,"Yes","No")</x:f>
        <x:v>No</x:v>
      </x:c>
      <x:c r="F390" s="19" t="n">
        <x:f>COUNTIF(C390:E390,"Yes")</x:f>
        <x:v>2</x:v>
      </x:c>
      <x:c r="G390" s="10" t="str">
        <x:f>IF(F390=3,"All three",IF(F390=2,IF(C390="No","Volcano + heatmap",IF(D390="No","Colleague + heatmap","Colleague + volcano")),IF(C390="Yes","Colleague only",IF(D390="Yes","Volcano only","Heatmap only"))))</x:f>
        <x:v>Colleague + volcano</x:v>
      </x:c>
      <x:c r="H390" s="10" t="str">
        <x:v>Innate Immune Recognition &amp; Signaling</x:v>
      </x:c>
      <x:c r="I390" s="10" t="str">
        <x:v>Serine Protease Inhibitors (Serpins)</x:v>
      </x:c>
      <x:c r="J390" s="10" t="str">
        <x:v>Immune-related</x:v>
      </x:c>
      <x:c r="K390" s="10" t="str">
        <x:v>infection_average_all_diets; infection_diet50; infection_diet83</x:v>
      </x:c>
      <x:c r="L390" s="10" t="str"/>
      <x:c r="M390" s="10" t="str"/>
      <x:c r="N390" s="10" t="str"/>
    </x:row>
    <x:row r="391">
      <x:c r="A391" s="10" t="str">
        <x:v>LOC126335545</x:v>
      </x:c>
      <x:c r="B391" s="10" t="str">
        <x:v>leukocyte elastase inhibitor-like</x:v>
      </x:c>
      <x:c r="C391" s="19" t="str">
        <x:f>IF(COUNTIF('Colleague 115'!$A$2:$A$116,A391)&gt;0,"Yes","No")</x:f>
        <x:v>Yes</x:v>
      </x:c>
      <x:c r="D391" s="19" t="str">
        <x:f>IF(COUNTIF('Volcano 402'!$A$2:$A$403,A391)&gt;0,"Yes","No")</x:f>
        <x:v>Yes</x:v>
      </x:c>
      <x:c r="E391" s="19" t="str">
        <x:f>IF(COUNTIF('Heatmap 169'!$A$2:$A$170,A391)&gt;0,"Yes","No")</x:f>
        <x:v>No</x:v>
      </x:c>
      <x:c r="F391" s="19" t="n">
        <x:f>COUNTIF(C391:E391,"Yes")</x:f>
        <x:v>2</x:v>
      </x:c>
      <x:c r="G391" s="10" t="str">
        <x:f>IF(F391=3,"All three",IF(F391=2,IF(C391="No","Volcano + heatmap",IF(D391="No","Colleague + heatmap","Colleague + volcano")),IF(C391="Yes","Colleague only",IF(D391="Yes","Volcano only","Heatmap only"))))</x:f>
        <x:v>Colleague + volcano</x:v>
      </x:c>
      <x:c r="H391" s="10" t="str">
        <x:v>Innate Immune Recognition &amp; Signaling</x:v>
      </x:c>
      <x:c r="I391" s="10" t="str">
        <x:v>Serine Protease Inhibitors (Serpins)</x:v>
      </x:c>
      <x:c r="J391" s="10" t="str">
        <x:v>Immune-related</x:v>
      </x:c>
      <x:c r="K391" s="10" t="str">
        <x:v>infection_average_all_diets; infection_diet33; infection_diet50; infection_diet83</x:v>
      </x:c>
      <x:c r="L391" s="10" t="str"/>
      <x:c r="M391" s="10" t="str"/>
      <x:c r="N391" s="10" t="str"/>
    </x:row>
    <x:row r="392">
      <x:c r="A392" s="10" t="str">
        <x:v>LOC126335546</x:v>
      </x:c>
      <x:c r="B392" s="10" t="str">
        <x:v>leukocyte elastase inhibitor-like</x:v>
      </x:c>
      <x:c r="C392" s="19" t="str">
        <x:f>IF(COUNTIF('Colleague 115'!$A$2:$A$116,A392)&gt;0,"Yes","No")</x:f>
        <x:v>Yes</x:v>
      </x:c>
      <x:c r="D392" s="19" t="str">
        <x:f>IF(COUNTIF('Volcano 402'!$A$2:$A$403,A392)&gt;0,"Yes","No")</x:f>
        <x:v>Yes</x:v>
      </x:c>
      <x:c r="E392" s="19" t="str">
        <x:f>IF(COUNTIF('Heatmap 169'!$A$2:$A$170,A392)&gt;0,"Yes","No")</x:f>
        <x:v>No</x:v>
      </x:c>
      <x:c r="F392" s="19" t="n">
        <x:f>COUNTIF(C392:E392,"Yes")</x:f>
        <x:v>2</x:v>
      </x:c>
      <x:c r="G392" s="10" t="str">
        <x:f>IF(F392=3,"All three",IF(F392=2,IF(C392="No","Volcano + heatmap",IF(D392="No","Colleague + heatmap","Colleague + volcano")),IF(C392="Yes","Colleague only",IF(D392="Yes","Volcano only","Heatmap only"))))</x:f>
        <x:v>Colleague + volcano</x:v>
      </x:c>
      <x:c r="H392" s="10" t="str">
        <x:v>Innate Immune Recognition &amp; Signaling</x:v>
      </x:c>
      <x:c r="I392" s="10" t="str">
        <x:v>Serine Protease Inhibitors (Serpins)</x:v>
      </x:c>
      <x:c r="J392" s="10" t="str">
        <x:v>Immune-related</x:v>
      </x:c>
      <x:c r="K392" s="10" t="str">
        <x:v>infection_average_all_diets; infection_diet33; infection_diet50; infection_diet83</x:v>
      </x:c>
      <x:c r="L392" s="10" t="str"/>
      <x:c r="M392" s="10" t="str"/>
      <x:c r="N392" s="10" t="str"/>
    </x:row>
    <x:row r="393">
      <x:c r="A393" s="10" t="str">
        <x:v>LOC126335547</x:v>
      </x:c>
      <x:c r="B393" s="10" t="str">
        <x:v>serpin B6-like</x:v>
      </x:c>
      <x:c r="C393" s="19" t="str">
        <x:f>IF(COUNTIF('Colleague 115'!$A$2:$A$116,A393)&gt;0,"Yes","No")</x:f>
        <x:v>Yes</x:v>
      </x:c>
      <x:c r="D393" s="19" t="str">
        <x:f>IF(COUNTIF('Volcano 402'!$A$2:$A$403,A393)&gt;0,"Yes","No")</x:f>
        <x:v>Yes</x:v>
      </x:c>
      <x:c r="E393" s="19" t="str">
        <x:f>IF(COUNTIF('Heatmap 169'!$A$2:$A$170,A393)&gt;0,"Yes","No")</x:f>
        <x:v>No</x:v>
      </x:c>
      <x:c r="F393" s="19" t="n">
        <x:f>COUNTIF(C393:E393,"Yes")</x:f>
        <x:v>2</x:v>
      </x:c>
      <x:c r="G393" s="10" t="str">
        <x:f>IF(F393=3,"All three",IF(F393=2,IF(C393="No","Volcano + heatmap",IF(D393="No","Colleague + heatmap","Colleague + volcano")),IF(C393="Yes","Colleague only",IF(D393="Yes","Volcano only","Heatmap only"))))</x:f>
        <x:v>Colleague + volcano</x:v>
      </x:c>
      <x:c r="H393" s="10" t="str">
        <x:v>Innate Immune Recognition &amp; Signaling</x:v>
      </x:c>
      <x:c r="I393" s="10" t="str">
        <x:v>Serine Protease Inhibitors (Serpins)</x:v>
      </x:c>
      <x:c r="J393" s="10" t="str">
        <x:v>Immune-related</x:v>
      </x:c>
      <x:c r="K393" s="10" t="str">
        <x:v>infection_average_all_diets; infection_diet33; infection_diet50; infection_diet83</x:v>
      </x:c>
      <x:c r="L393" s="10" t="str"/>
      <x:c r="M393" s="10" t="str"/>
      <x:c r="N393" s="10" t="str"/>
    </x:row>
    <x:row r="394">
      <x:c r="A394" s="10" t="str">
        <x:v>LOC126335565</x:v>
      </x:c>
      <x:c r="B394" s="10" t="str">
        <x:v>cytochrome P450 9e2-like</x:v>
      </x:c>
      <x:c r="C394" s="19" t="str">
        <x:f>IF(COUNTIF('Colleague 115'!$A$2:$A$116,A394)&gt;0,"Yes","No")</x:f>
        <x:v>No</x:v>
      </x:c>
      <x:c r="D394" s="19" t="str">
        <x:f>IF(COUNTIF('Volcano 402'!$A$2:$A$403,A394)&gt;0,"Yes","No")</x:f>
        <x:v>Yes</x:v>
      </x:c>
      <x:c r="E394" s="19" t="str">
        <x:f>IF(COUNTIF('Heatmap 169'!$A$2:$A$170,A394)&gt;0,"Yes","No")</x:f>
        <x:v>No</x:v>
      </x:c>
      <x:c r="F394" s="19" t="n">
        <x:f>COUNTIF(C394:E394,"Yes")</x:f>
        <x:v>1</x:v>
      </x:c>
      <x:c r="G394" s="10" t="str">
        <x:f>IF(F394=3,"All three",IF(F394=2,IF(C394="No","Volcano + heatmap",IF(D394="No","Colleague + heatmap","Colleague + volcano")),IF(C394="Yes","Colleague only",IF(D394="Yes","Volcano only","Heatmap only"))))</x:f>
        <x:v>Volcano only</x:v>
      </x:c>
      <x:c r="H394" s="10" t="str"/>
      <x:c r="I394" s="10" t="str"/>
      <x:c r="J394" s="10" t="str">
        <x:v>Detoxification / stress</x:v>
      </x:c>
      <x:c r="K394" s="10" t="str">
        <x:v>infection_average_all_diets; infection_diet33; infection_diet50; infection_diet83</x:v>
      </x:c>
      <x:c r="L394" s="10" t="str"/>
      <x:c r="M394" s="10" t="str"/>
      <x:c r="N394" s="10" t="str"/>
    </x:row>
    <x:row r="395">
      <x:c r="A395" s="10" t="str">
        <x:v>LOC126335566</x:v>
      </x:c>
      <x:c r="B395" s="10" t="str">
        <x:v>cytochrome P450 9e2-like</x:v>
      </x:c>
      <x:c r="C395" s="19" t="str">
        <x:f>IF(COUNTIF('Colleague 115'!$A$2:$A$116,A395)&gt;0,"Yes","No")</x:f>
        <x:v>No</x:v>
      </x:c>
      <x:c r="D395" s="19" t="str">
        <x:f>IF(COUNTIF('Volcano 402'!$A$2:$A$403,A395)&gt;0,"Yes","No")</x:f>
        <x:v>Yes</x:v>
      </x:c>
      <x:c r="E395" s="19" t="str">
        <x:f>IF(COUNTIF('Heatmap 169'!$A$2:$A$170,A395)&gt;0,"Yes","No")</x:f>
        <x:v>No</x:v>
      </x:c>
      <x:c r="F395" s="19" t="n">
        <x:f>COUNTIF(C395:E395,"Yes")</x:f>
        <x:v>1</x:v>
      </x:c>
      <x:c r="G395" s="10" t="str">
        <x:f>IF(F395=3,"All three",IF(F395=2,IF(C395="No","Volcano + heatmap",IF(D395="No","Colleague + heatmap","Colleague + volcano")),IF(C395="Yes","Colleague only",IF(D395="Yes","Volcano only","Heatmap only"))))</x:f>
        <x:v>Volcano only</x:v>
      </x:c>
      <x:c r="H395" s="10" t="str"/>
      <x:c r="I395" s="10" t="str"/>
      <x:c r="J395" s="10" t="str">
        <x:v>Detoxification / stress</x:v>
      </x:c>
      <x:c r="K395" s="10" t="str">
        <x:v>infection_average_all_diets; infection_diet33; infection_diet50; infection_diet83</x:v>
      </x:c>
      <x:c r="L395" s="10" t="str"/>
      <x:c r="M395" s="10" t="str"/>
      <x:c r="N395" s="10" t="str"/>
    </x:row>
    <x:row r="396">
      <x:c r="A396" s="10" t="str">
        <x:v>LOC126335581</x:v>
      </x:c>
      <x:c r="B396" s="10" t="str">
        <x:v>Cytochrome P-450</x:v>
      </x:c>
      <x:c r="C396" s="19" t="str">
        <x:f>IF(COUNTIF('Colleague 115'!$A$2:$A$116,A396)&gt;0,"Yes","No")</x:f>
        <x:v>No</x:v>
      </x:c>
      <x:c r="D396" s="19" t="str">
        <x:f>IF(COUNTIF('Volcano 402'!$A$2:$A$403,A396)&gt;0,"Yes","No")</x:f>
        <x:v>No</x:v>
      </x:c>
      <x:c r="E396" s="19" t="str">
        <x:f>IF(COUNTIF('Heatmap 169'!$A$2:$A$170,A396)&gt;0,"Yes","No")</x:f>
        <x:v>Yes</x:v>
      </x:c>
      <x:c r="F396" s="19" t="n">
        <x:f>COUNTIF(C396:E396,"Yes")</x:f>
        <x:v>1</x:v>
      </x:c>
      <x:c r="G396" s="10" t="str">
        <x:f>IF(F396=3,"All three",IF(F396=2,IF(C396="No","Volcano + heatmap",IF(D396="No","Colleague + heatmap","Colleague + volcano")),IF(C396="Yes","Colleague only",IF(D396="Yes","Volcano only","Heatmap only"))))</x:f>
        <x:v>Heatmap only</x:v>
      </x:c>
      <x:c r="H396" s="10" t="str"/>
      <x:c r="I396" s="10" t="str"/>
      <x:c r="J396" s="10" t="str"/>
      <x:c r="K396" s="10" t="str"/>
      <x:c r="L396" s="10" t="str">
        <x:v>Functional candidate</x:v>
      </x:c>
      <x:c r="M396" s="10" t="str">
        <x:v>Detoxification/stress</x:v>
      </x:c>
      <x:c r="N396" s="10" t="str">
        <x:v>Not DEG</x:v>
      </x:c>
    </x:row>
    <x:row r="397">
      <x:c r="A397" s="10" t="str">
        <x:v>LOC126335582</x:v>
      </x:c>
      <x:c r="B397" s="10" t="str">
        <x:v>cytochrome P450 9e2-like</x:v>
      </x:c>
      <x:c r="C397" s="19" t="str">
        <x:f>IF(COUNTIF('Colleague 115'!$A$2:$A$116,A397)&gt;0,"Yes","No")</x:f>
        <x:v>No</x:v>
      </x:c>
      <x:c r="D397" s="19" t="str">
        <x:f>IF(COUNTIF('Volcano 402'!$A$2:$A$403,A397)&gt;0,"Yes","No")</x:f>
        <x:v>Yes</x:v>
      </x:c>
      <x:c r="E397" s="19" t="str">
        <x:f>IF(COUNTIF('Heatmap 169'!$A$2:$A$170,A397)&gt;0,"Yes","No")</x:f>
        <x:v>No</x:v>
      </x:c>
      <x:c r="F397" s="19" t="n">
        <x:f>COUNTIF(C397:E397,"Yes")</x:f>
        <x:v>1</x:v>
      </x:c>
      <x:c r="G397" s="10" t="str">
        <x:f>IF(F397=3,"All three",IF(F397=2,IF(C397="No","Volcano + heatmap",IF(D397="No","Colleague + heatmap","Colleague + volcano")),IF(C397="Yes","Colleague only",IF(D397="Yes","Volcano only","Heatmap only"))))</x:f>
        <x:v>Volcano only</x:v>
      </x:c>
      <x:c r="H397" s="10" t="str"/>
      <x:c r="I397" s="10" t="str"/>
      <x:c r="J397" s="10" t="str">
        <x:v>Detoxification / stress</x:v>
      </x:c>
      <x:c r="K397" s="10" t="str">
        <x:v>infection_diet50</x:v>
      </x:c>
      <x:c r="L397" s="10" t="str"/>
      <x:c r="M397" s="10" t="str"/>
      <x:c r="N397" s="10" t="str"/>
    </x:row>
    <x:row r="398">
      <x:c r="A398" s="10" t="str">
        <x:v>LOC126335596</x:v>
      </x:c>
      <x:c r="B398" s="10" t="str">
        <x:v>gamma-interferon-inducible lysosomal thiol reductase-like</x:v>
      </x:c>
      <x:c r="C398" s="19" t="str">
        <x:f>IF(COUNTIF('Colleague 115'!$A$2:$A$116,A398)&gt;0,"Yes","No")</x:f>
        <x:v>Yes</x:v>
      </x:c>
      <x:c r="D398" s="19" t="str">
        <x:f>IF(COUNTIF('Volcano 402'!$A$2:$A$403,A398)&gt;0,"Yes","No")</x:f>
        <x:v>No</x:v>
      </x:c>
      <x:c r="E398" s="19" t="str">
        <x:f>IF(COUNTIF('Heatmap 169'!$A$2:$A$170,A398)&gt;0,"Yes","No")</x:f>
        <x:v>No</x:v>
      </x:c>
      <x:c r="F398" s="19" t="n">
        <x:f>COUNTIF(C398:E398,"Yes")</x:f>
        <x:v>1</x:v>
      </x:c>
      <x:c r="G398" s="10" t="str">
        <x:f>IF(F398=3,"All three",IF(F398=2,IF(C398="No","Volcano + heatmap",IF(D398="No","Colleague + heatmap","Colleague + volcano")),IF(C398="Yes","Colleague only",IF(D398="Yes","Volcano only","Heatmap only"))))</x:f>
        <x:v>Colleague only</x:v>
      </x:c>
      <x:c r="H398" s="10" t="str">
        <x:v>Cellular Immunity</x:v>
      </x:c>
      <x:c r="I398" s="10" t="str">
        <x:v>Lysosomal Processing &amp; Antigen Presentation (GILT)</x:v>
      </x:c>
      <x:c r="J398" s="10" t="str"/>
      <x:c r="K398" s="10" t="str"/>
      <x:c r="L398" s="10" t="str"/>
      <x:c r="M398" s="10" t="str"/>
      <x:c r="N398" s="10" t="str"/>
    </x:row>
    <x:row r="399">
      <x:c r="A399" s="10" t="str">
        <x:v>LOC126335620</x:v>
      </x:c>
      <x:c r="B399" s="10" t="str">
        <x:v>hemolymph lipopolysaccharide-binding protein-like</x:v>
      </x:c>
      <x:c r="C399" s="19" t="str">
        <x:f>IF(COUNTIF('Colleague 115'!$A$2:$A$116,A399)&gt;0,"Yes","No")</x:f>
        <x:v>No</x:v>
      </x:c>
      <x:c r="D399" s="19" t="str">
        <x:f>IF(COUNTIF('Volcano 402'!$A$2:$A$403,A399)&gt;0,"Yes","No")</x:f>
        <x:v>Yes</x:v>
      </x:c>
      <x:c r="E399" s="19" t="str">
        <x:f>IF(COUNTIF('Heatmap 169'!$A$2:$A$170,A399)&gt;0,"Yes","No")</x:f>
        <x:v>No</x:v>
      </x:c>
      <x:c r="F399" s="19" t="n">
        <x:f>COUNTIF(C399:E399,"Yes")</x:f>
        <x:v>1</x:v>
      </x:c>
      <x:c r="G399" s="10" t="str">
        <x:f>IF(F399=3,"All three",IF(F399=2,IF(C399="No","Volcano + heatmap",IF(D399="No","Colleague + heatmap","Colleague + volcano")),IF(C399="Yes","Colleague only",IF(D399="Yes","Volcano only","Heatmap only"))))</x:f>
        <x:v>Volcano only</x:v>
      </x:c>
      <x:c r="H399" s="10" t="str"/>
      <x:c r="I399" s="10" t="str"/>
      <x:c r="J399" s="10" t="str">
        <x:v>Immune-related</x:v>
      </x:c>
      <x:c r="K399" s="10" t="str">
        <x:v>infection_average_all_diets</x:v>
      </x:c>
      <x:c r="L399" s="10" t="str"/>
      <x:c r="M399" s="10" t="str"/>
      <x:c r="N399" s="10" t="str"/>
    </x:row>
    <x:row r="400">
      <x:c r="A400" s="10" t="str">
        <x:v>LOC126335646</x:v>
      </x:c>
      <x:c r="B400" s="10" t="str">
        <x:v>Hemocyanin, copper containing domain</x:v>
      </x:c>
      <x:c r="C400" s="19" t="str">
        <x:f>IF(COUNTIF('Colleague 115'!$A$2:$A$116,A400)&gt;0,"Yes","No")</x:f>
        <x:v>No</x:v>
      </x:c>
      <x:c r="D400" s="19" t="str">
        <x:f>IF(COUNTIF('Volcano 402'!$A$2:$A$403,A400)&gt;0,"Yes","No")</x:f>
        <x:v>No</x:v>
      </x:c>
      <x:c r="E400" s="19" t="str">
        <x:f>IF(COUNTIF('Heatmap 169'!$A$2:$A$170,A400)&gt;0,"Yes","No")</x:f>
        <x:v>Yes</x:v>
      </x:c>
      <x:c r="F400" s="19" t="n">
        <x:f>COUNTIF(C400:E400,"Yes")</x:f>
        <x:v>1</x:v>
      </x:c>
      <x:c r="G400" s="10" t="str">
        <x:f>IF(F400=3,"All three",IF(F400=2,IF(C400="No","Volcano + heatmap",IF(D400="No","Colleague + heatmap","Colleague + volcano")),IF(C400="Yes","Colleague only",IF(D400="Yes","Volcano only","Heatmap only"))))</x:f>
        <x:v>Heatmap only</x:v>
      </x:c>
      <x:c r="H400" s="10" t="str"/>
      <x:c r="I400" s="10" t="str"/>
      <x:c r="J400" s="10" t="str"/>
      <x:c r="K400" s="10" t="str"/>
      <x:c r="L400" s="10" t="str">
        <x:v>Functional candidate</x:v>
      </x:c>
      <x:c r="M400" s="10" t="str">
        <x:v>Storage/lipid transport</x:v>
      </x:c>
      <x:c r="N400" s="10" t="str">
        <x:v>Not DEG</x:v>
      </x:c>
    </x:row>
    <x:row r="401">
      <x:c r="A401" s="10" t="str">
        <x:v>LOC126335724</x:v>
      </x:c>
      <x:c r="B401" s="10" t="str">
        <x:v>hexamerin-like</x:v>
      </x:c>
      <x:c r="C401" s="19" t="str">
        <x:f>IF(COUNTIF('Colleague 115'!$A$2:$A$116,A401)&gt;0,"Yes","No")</x:f>
        <x:v>Yes</x:v>
      </x:c>
      <x:c r="D401" s="19" t="str">
        <x:f>IF(COUNTIF('Volcano 402'!$A$2:$A$403,A401)&gt;0,"Yes","No")</x:f>
        <x:v>Yes</x:v>
      </x:c>
      <x:c r="E401" s="19" t="str">
        <x:f>IF(COUNTIF('Heatmap 169'!$A$2:$A$170,A401)&gt;0,"Yes","No")</x:f>
        <x:v>Yes</x:v>
      </x:c>
      <x:c r="F401" s="19" t="n">
        <x:f>COUNTIF(C401:E401,"Yes")</x:f>
        <x:v>3</x:v>
      </x:c>
      <x:c r="G401" s="10" t="str">
        <x:f>IF(F401=3,"All three",IF(F401=2,IF(C401="No","Volcano + heatmap",IF(D401="No","Colleague + heatmap","Colleague + volcano")),IF(C401="Yes","Colleague only",IF(D401="Yes","Volcano only","Heatmap only"))))</x:f>
        <x:v>All three</x:v>
      </x:c>
      <x:c r="H401" s="10" t="str">
        <x:v>Storage Hexamerins &amp; Reserves</x:v>
      </x:c>
      <x:c r="I401" s="10" t="str">
        <x:v>Hexamerin Storage Proteins</x:v>
      </x:c>
      <x:c r="J401" s="10" t="str">
        <x:v>Immune-related</x:v>
      </x:c>
      <x:c r="K401" s="10" t="str">
        <x:v>infection_average_all_diets; infection_diet50</x:v>
      </x:c>
      <x:c r="L401" s="10" t="str">
        <x:v>Functional candidate</x:v>
      </x:c>
      <x:c r="M401" s="10" t="str">
        <x:v>Storage/lipid transport</x:v>
      </x:c>
      <x:c r="N401" s="10" t="str">
        <x:v>DEG</x:v>
      </x:c>
    </x:row>
    <x:row r="402">
      <x:c r="A402" s="10" t="str">
        <x:v>LOC126335786</x:v>
      </x:c>
      <x:c r="B402" s="10" t="str">
        <x:v>cholinesterase 1-like</x:v>
      </x:c>
      <x:c r="C402" s="19" t="str">
        <x:f>IF(COUNTIF('Colleague 115'!$A$2:$A$116,A402)&gt;0,"Yes","No")</x:f>
        <x:v>No</x:v>
      </x:c>
      <x:c r="D402" s="19" t="str">
        <x:f>IF(COUNTIF('Volcano 402'!$A$2:$A$403,A402)&gt;0,"Yes","No")</x:f>
        <x:v>Yes</x:v>
      </x:c>
      <x:c r="E402" s="19" t="str">
        <x:f>IF(COUNTIF('Heatmap 169'!$A$2:$A$170,A402)&gt;0,"Yes","No")</x:f>
        <x:v>No</x:v>
      </x:c>
      <x:c r="F402" s="19" t="n">
        <x:f>COUNTIF(C402:E402,"Yes")</x:f>
        <x:v>1</x:v>
      </x:c>
      <x:c r="G402" s="10" t="str">
        <x:f>IF(F402=3,"All three",IF(F402=2,IF(C402="No","Volcano + heatmap",IF(D402="No","Colleague + heatmap","Colleague + volcano")),IF(C402="Yes","Colleague only",IF(D402="Yes","Volcano only","Heatmap only"))))</x:f>
        <x:v>Volcano only</x:v>
      </x:c>
      <x:c r="H402" s="10" t="str"/>
      <x:c r="I402" s="10" t="str"/>
      <x:c r="J402" s="10" t="str">
        <x:v>Detoxification / stress</x:v>
      </x:c>
      <x:c r="K402" s="10" t="str">
        <x:v>infected_diet83_vs50; infection_average_all_diets; infection_diet33; infection_diet83</x:v>
      </x:c>
      <x:c r="L402" s="10" t="str"/>
      <x:c r="M402" s="10" t="str"/>
      <x:c r="N402" s="10" t="str"/>
    </x:row>
    <x:row r="403">
      <x:c r="A403" s="10" t="str">
        <x:v>LOC126335826</x:v>
      </x:c>
      <x:c r="B403" s="10" t="str">
        <x:v>toll-like receptor 2</x:v>
      </x:c>
      <x:c r="C403" s="19" t="str">
        <x:f>IF(COUNTIF('Colleague 115'!$A$2:$A$116,A403)&gt;0,"Yes","No")</x:f>
        <x:v>No</x:v>
      </x:c>
      <x:c r="D403" s="19" t="str">
        <x:f>IF(COUNTIF('Volcano 402'!$A$2:$A$403,A403)&gt;0,"Yes","No")</x:f>
        <x:v>Yes</x:v>
      </x:c>
      <x:c r="E403" s="19" t="str">
        <x:f>IF(COUNTIF('Heatmap 169'!$A$2:$A$170,A403)&gt;0,"Yes","No")</x:f>
        <x:v>No</x:v>
      </x:c>
      <x:c r="F403" s="19" t="n">
        <x:f>COUNTIF(C403:E403,"Yes")</x:f>
        <x:v>1</x:v>
      </x:c>
      <x:c r="G403" s="10" t="str">
        <x:f>IF(F403=3,"All three",IF(F403=2,IF(C403="No","Volcano + heatmap",IF(D403="No","Colleague + heatmap","Colleague + volcano")),IF(C403="Yes","Colleague only",IF(D403="Yes","Volcano only","Heatmap only"))))</x:f>
        <x:v>Volcano only</x:v>
      </x:c>
      <x:c r="H403" s="10" t="str"/>
      <x:c r="I403" s="10" t="str"/>
      <x:c r="J403" s="10" t="str">
        <x:v>Immune-related</x:v>
      </x:c>
      <x:c r="K403" s="10" t="str">
        <x:v>infection_average_all_diets</x:v>
      </x:c>
      <x:c r="L403" s="10" t="str"/>
      <x:c r="M403" s="10" t="str"/>
      <x:c r="N403" s="10" t="str"/>
    </x:row>
    <x:row r="404">
      <x:c r="A404" s="10" t="str">
        <x:v>LOC126335828</x:v>
      </x:c>
      <x:c r="B404" s="10" t="str">
        <x:v>toll-like receptor 2</x:v>
      </x:c>
      <x:c r="C404" s="19" t="str">
        <x:f>IF(COUNTIF('Colleague 115'!$A$2:$A$116,A404)&gt;0,"Yes","No")</x:f>
        <x:v>Yes</x:v>
      </x:c>
      <x:c r="D404" s="19" t="str">
        <x:f>IF(COUNTIF('Volcano 402'!$A$2:$A$403,A404)&gt;0,"Yes","No")</x:f>
        <x:v>Yes</x:v>
      </x:c>
      <x:c r="E404" s="19" t="str">
        <x:f>IF(COUNTIF('Heatmap 169'!$A$2:$A$170,A404)&gt;0,"Yes","No")</x:f>
        <x:v>No</x:v>
      </x:c>
      <x:c r="F404" s="19" t="n">
        <x:f>COUNTIF(C404:E404,"Yes")</x:f>
        <x:v>2</x:v>
      </x:c>
      <x:c r="G404" s="10" t="str">
        <x:f>IF(F404=3,"All three",IF(F404=2,IF(C404="No","Volcano + heatmap",IF(D404="No","Colleague + heatmap","Colleague + volcano")),IF(C404="Yes","Colleague only",IF(D404="Yes","Volcano only","Heatmap only"))))</x:f>
        <x:v>Colleague + volcano</x:v>
      </x:c>
      <x:c r="H404" s="10" t="str">
        <x:v>Innate Immune Recognition &amp; Signaling</x:v>
      </x:c>
      <x:c r="I404" s="10" t="str">
        <x:v>Immune Activation &amp; Sensing (Toll/JAK-STAT/NF-κB)</x:v>
      </x:c>
      <x:c r="J404" s="10" t="str">
        <x:v>Immune-related</x:v>
      </x:c>
      <x:c r="K404" s="10" t="str">
        <x:v>infection_average_all_diets; infection_diet33; infection_diet50; infection_diet83</x:v>
      </x:c>
      <x:c r="L404" s="10" t="str"/>
      <x:c r="M404" s="10" t="str"/>
      <x:c r="N404" s="10" t="str"/>
    </x:row>
    <x:row r="405">
      <x:c r="A405" s="10" t="str">
        <x:v>LOC126335966</x:v>
      </x:c>
      <x:c r="B405" s="10" t="str">
        <x:v>Belongs to the glycosyltransferase 43 family</x:v>
      </x:c>
      <x:c r="C405" s="19" t="str">
        <x:f>IF(COUNTIF('Colleague 115'!$A$2:$A$116,A405)&gt;0,"Yes","No")</x:f>
        <x:v>No</x:v>
      </x:c>
      <x:c r="D405" s="19" t="str">
        <x:f>IF(COUNTIF('Volcano 402'!$A$2:$A$403,A405)&gt;0,"Yes","No")</x:f>
        <x:v>No</x:v>
      </x:c>
      <x:c r="E405" s="19" t="str">
        <x:f>IF(COUNTIF('Heatmap 169'!$A$2:$A$170,A405)&gt;0,"Yes","No")</x:f>
        <x:v>Yes</x:v>
      </x:c>
      <x:c r="F405" s="19" t="n">
        <x:f>COUNTIF(C405:E405,"Yes")</x:f>
        <x:v>1</x:v>
      </x:c>
      <x:c r="G405" s="10" t="str">
        <x:f>IF(F405=3,"All three",IF(F405=2,IF(C405="No","Volcano + heatmap",IF(D405="No","Colleague + heatmap","Colleague + volcano")),IF(C405="Yes","Colleague only",IF(D405="Yes","Volcano only","Heatmap only"))))</x:f>
        <x:v>Heatmap only</x:v>
      </x:c>
      <x:c r="H405" s="10" t="str"/>
      <x:c r="I405" s="10" t="str"/>
      <x:c r="J405" s="10" t="str"/>
      <x:c r="K405" s="10" t="str"/>
      <x:c r="L405" s="10" t="str">
        <x:v>Top DEG</x:v>
      </x:c>
      <x:c r="M405" s="10" t="str">
        <x:v>Other strong DEG</x:v>
      </x:c>
      <x:c r="N405" s="10" t="str">
        <x:v>DEG</x:v>
      </x:c>
    </x:row>
    <x:row r="406">
      <x:c r="A406" s="10" t="str">
        <x:v>LOC126336041</x:v>
      </x:c>
      <x:c r="B406" s="10" t="str">
        <x:v>uncharacterized LOC126336041</x:v>
      </x:c>
      <x:c r="C406" s="19" t="str">
        <x:f>IF(COUNTIF('Colleague 115'!$A$2:$A$116,A406)&gt;0,"Yes","No")</x:f>
        <x:v>No</x:v>
      </x:c>
      <x:c r="D406" s="19" t="str">
        <x:f>IF(COUNTIF('Volcano 402'!$A$2:$A$403,A406)&gt;0,"Yes","No")</x:f>
        <x:v>Yes</x:v>
      </x:c>
      <x:c r="E406" s="19" t="str">
        <x:f>IF(COUNTIF('Heatmap 169'!$A$2:$A$170,A406)&gt;0,"Yes","No")</x:f>
        <x:v>No</x:v>
      </x:c>
      <x:c r="F406" s="19" t="n">
        <x:f>COUNTIF(C406:E406,"Yes")</x:f>
        <x:v>1</x:v>
      </x:c>
      <x:c r="G406" s="10" t="str">
        <x:f>IF(F406=3,"All three",IF(F406=2,IF(C406="No","Volcano + heatmap",IF(D406="No","Colleague + heatmap","Colleague + volcano")),IF(C406="Yes","Colleague only",IF(D406="Yes","Volcano only","Heatmap only"))))</x:f>
        <x:v>Volcano only</x:v>
      </x:c>
      <x:c r="H406" s="10" t="str"/>
      <x:c r="I406" s="10" t="str"/>
      <x:c r="J406" s="10" t="str">
        <x:v>Detoxification / stress</x:v>
      </x:c>
      <x:c r="K406" s="10" t="str">
        <x:v>infection_diet33</x:v>
      </x:c>
      <x:c r="L406" s="10" t="str"/>
      <x:c r="M406" s="10" t="str"/>
      <x:c r="N406" s="10" t="str"/>
    </x:row>
    <x:row r="407">
      <x:c r="A407" s="10" t="str">
        <x:v>LOC126336044</x:v>
      </x:c>
      <x:c r="B407" s="10" t="str">
        <x:v>uncharacterized LOC126336044</x:v>
      </x:c>
      <x:c r="C407" s="19" t="str">
        <x:f>IF(COUNTIF('Colleague 115'!$A$2:$A$116,A407)&gt;0,"Yes","No")</x:f>
        <x:v>No</x:v>
      </x:c>
      <x:c r="D407" s="19" t="str">
        <x:f>IF(COUNTIF('Volcano 402'!$A$2:$A$403,A407)&gt;0,"Yes","No")</x:f>
        <x:v>Yes</x:v>
      </x:c>
      <x:c r="E407" s="19" t="str">
        <x:f>IF(COUNTIF('Heatmap 169'!$A$2:$A$170,A407)&gt;0,"Yes","No")</x:f>
        <x:v>No</x:v>
      </x:c>
      <x:c r="F407" s="19" t="n">
        <x:f>COUNTIF(C407:E407,"Yes")</x:f>
        <x:v>1</x:v>
      </x:c>
      <x:c r="G407" s="10" t="str">
        <x:f>IF(F407=3,"All three",IF(F407=2,IF(C407="No","Volcano + heatmap",IF(D407="No","Colleague + heatmap","Colleague + volcano")),IF(C407="Yes","Colleague only",IF(D407="Yes","Volcano only","Heatmap only"))))</x:f>
        <x:v>Volcano only</x:v>
      </x:c>
      <x:c r="H407" s="10" t="str"/>
      <x:c r="I407" s="10" t="str"/>
      <x:c r="J407" s="10" t="str">
        <x:v>Detoxification / stress</x:v>
      </x:c>
      <x:c r="K407" s="10" t="str">
        <x:v>infected_diet33_vs50</x:v>
      </x:c>
      <x:c r="L407" s="10" t="str"/>
      <x:c r="M407" s="10" t="str"/>
      <x:c r="N407" s="10" t="str"/>
    </x:row>
    <x:row r="408">
      <x:c r="A408" s="10" t="str">
        <x:v>LOC126336076</x:v>
      </x:c>
      <x:c r="B408" s="10" t="str">
        <x:v>serpin B8-like</x:v>
      </x:c>
      <x:c r="C408" s="19" t="str">
        <x:f>IF(COUNTIF('Colleague 115'!$A$2:$A$116,A408)&gt;0,"Yes","No")</x:f>
        <x:v>Yes</x:v>
      </x:c>
      <x:c r="D408" s="19" t="str">
        <x:f>IF(COUNTIF('Volcano 402'!$A$2:$A$403,A408)&gt;0,"Yes","No")</x:f>
        <x:v>Yes</x:v>
      </x:c>
      <x:c r="E408" s="19" t="str">
        <x:f>IF(COUNTIF('Heatmap 169'!$A$2:$A$170,A408)&gt;0,"Yes","No")</x:f>
        <x:v>No</x:v>
      </x:c>
      <x:c r="F408" s="19" t="n">
        <x:f>COUNTIF(C408:E408,"Yes")</x:f>
        <x:v>2</x:v>
      </x:c>
      <x:c r="G408" s="10" t="str">
        <x:f>IF(F408=3,"All three",IF(F408=2,IF(C408="No","Volcano + heatmap",IF(D408="No","Colleague + heatmap","Colleague + volcano")),IF(C408="Yes","Colleague only",IF(D408="Yes","Volcano only","Heatmap only"))))</x:f>
        <x:v>Colleague + volcano</x:v>
      </x:c>
      <x:c r="H408" s="10" t="str">
        <x:v>Innate Immune Recognition &amp; Signaling</x:v>
      </x:c>
      <x:c r="I408" s="10" t="str">
        <x:v>Serine Protease Inhibitors (Serpins)</x:v>
      </x:c>
      <x:c r="J408" s="10" t="str">
        <x:v>Immune-related</x:v>
      </x:c>
      <x:c r="K408" s="10" t="str">
        <x:v>infection_average_all_diets; infection_diet33; infection_diet50</x:v>
      </x:c>
      <x:c r="L408" s="10" t="str"/>
      <x:c r="M408" s="10" t="str"/>
      <x:c r="N408" s="10" t="str"/>
    </x:row>
    <x:row r="409">
      <x:c r="A409" s="10" t="str">
        <x:v>LOC126336244</x:v>
      </x:c>
      <x:c r="B409" s="10" t="str">
        <x:v>Thiolase, N-terminal domain</x:v>
      </x:c>
      <x:c r="C409" s="19" t="str">
        <x:f>IF(COUNTIF('Colleague 115'!$A$2:$A$116,A409)&gt;0,"Yes","No")</x:f>
        <x:v>No</x:v>
      </x:c>
      <x:c r="D409" s="19" t="str">
        <x:f>IF(COUNTIF('Volcano 402'!$A$2:$A$403,A409)&gt;0,"Yes","No")</x:f>
        <x:v>No</x:v>
      </x:c>
      <x:c r="E409" s="19" t="str">
        <x:f>IF(COUNTIF('Heatmap 169'!$A$2:$A$170,A409)&gt;0,"Yes","No")</x:f>
        <x:v>Yes</x:v>
      </x:c>
      <x:c r="F409" s="19" t="n">
        <x:f>COUNTIF(C409:E409,"Yes")</x:f>
        <x:v>1</x:v>
      </x:c>
      <x:c r="G409" s="10" t="str">
        <x:f>IF(F409=3,"All three",IF(F409=2,IF(C409="No","Volcano + heatmap",IF(D409="No","Colleague + heatmap","Colleague + volcano")),IF(C409="Yes","Colleague only",IF(D409="Yes","Volcano only","Heatmap only"))))</x:f>
        <x:v>Heatmap only</x:v>
      </x:c>
      <x:c r="H409" s="10" t="str"/>
      <x:c r="I409" s="10" t="str"/>
      <x:c r="J409" s="10" t="str"/>
      <x:c r="K409" s="10" t="str"/>
      <x:c r="L409" s="10" t="str">
        <x:v>Top DEG</x:v>
      </x:c>
      <x:c r="M409" s="10" t="str">
        <x:v>Other strong DEG</x:v>
      </x:c>
      <x:c r="N409" s="10" t="str">
        <x:v>DEG</x:v>
      </x:c>
    </x:row>
    <x:row r="410">
      <x:c r="A410" s="10" t="str">
        <x:v>LOC126336286</x:v>
      </x:c>
      <x:c r="B410" s="10" t="str">
        <x:v>fatty acyl-CoA reductase wat-like</x:v>
      </x:c>
      <x:c r="C410" s="19" t="str">
        <x:f>IF(COUNTIF('Colleague 115'!$A$2:$A$116,A410)&gt;0,"Yes","No")</x:f>
        <x:v>No</x:v>
      </x:c>
      <x:c r="D410" s="19" t="str">
        <x:f>IF(COUNTIF('Volcano 402'!$A$2:$A$403,A410)&gt;0,"Yes","No")</x:f>
        <x:v>Yes</x:v>
      </x:c>
      <x:c r="E410" s="19" t="str">
        <x:f>IF(COUNTIF('Heatmap 169'!$A$2:$A$170,A410)&gt;0,"Yes","No")</x:f>
        <x:v>No</x:v>
      </x:c>
      <x:c r="F410" s="19" t="n">
        <x:f>COUNTIF(C410:E410,"Yes")</x:f>
        <x:v>1</x:v>
      </x:c>
      <x:c r="G410" s="10" t="str">
        <x:f>IF(F410=3,"All three",IF(F410=2,IF(C410="No","Volcano + heatmap",IF(D410="No","Colleague + heatmap","Colleague + volcano")),IF(C410="Yes","Colleague only",IF(D410="Yes","Volcano only","Heatmap only"))))</x:f>
        <x:v>Volcano only</x:v>
      </x:c>
      <x:c r="H410" s="10" t="str"/>
      <x:c r="I410" s="10" t="str"/>
      <x:c r="J410" s="10" t="str">
        <x:v>Lipid synthesis / metabolism</x:v>
      </x:c>
      <x:c r="K410" s="10" t="str">
        <x:v>control_diet33_vs50; control_diet83_vs33; infection_diet33</x:v>
      </x:c>
      <x:c r="L410" s="10" t="str"/>
      <x:c r="M410" s="10" t="str"/>
      <x:c r="N410" s="10" t="str"/>
    </x:row>
    <x:row r="411">
      <x:c r="A411" s="10" t="str">
        <x:v>LOC126336294</x:v>
      </x:c>
      <x:c r="B411" s="10" t="str"/>
      <x:c r="C411" s="19" t="str">
        <x:f>IF(COUNTIF('Colleague 115'!$A$2:$A$116,A411)&gt;0,"Yes","No")</x:f>
        <x:v>No</x:v>
      </x:c>
      <x:c r="D411" s="19" t="str">
        <x:f>IF(COUNTIF('Volcano 402'!$A$2:$A$403,A411)&gt;0,"Yes","No")</x:f>
        <x:v>No</x:v>
      </x:c>
      <x:c r="E411" s="19" t="str">
        <x:f>IF(COUNTIF('Heatmap 169'!$A$2:$A$170,A411)&gt;0,"Yes","No")</x:f>
        <x:v>Yes</x:v>
      </x:c>
      <x:c r="F411" s="19" t="n">
        <x:f>COUNTIF(C411:E411,"Yes")</x:f>
        <x:v>1</x:v>
      </x:c>
      <x:c r="G411" s="10" t="str">
        <x:f>IF(F411=3,"All three",IF(F411=2,IF(C411="No","Volcano + heatmap",IF(D411="No","Colleague + heatmap","Colleague + volcano")),IF(C411="Yes","Colleague only",IF(D411="Yes","Volcano only","Heatmap only"))))</x:f>
        <x:v>Heatmap only</x:v>
      </x:c>
      <x:c r="H411" s="10" t="str"/>
      <x:c r="I411" s="10" t="str"/>
      <x:c r="J411" s="10" t="str"/>
      <x:c r="K411" s="10" t="str"/>
      <x:c r="L411" s="10" t="str">
        <x:v>Top DEG</x:v>
      </x:c>
      <x:c r="M411" s="10" t="str">
        <x:v>Other strong DEG</x:v>
      </x:c>
      <x:c r="N411" s="10" t="str">
        <x:v>DEG</x:v>
      </x:c>
    </x:row>
    <x:row r="412">
      <x:c r="A412" s="10" t="str">
        <x:v>LOC126336322</x:v>
      </x:c>
      <x:c r="B412" s="10" t="str">
        <x:v>defensin-like</x:v>
      </x:c>
      <x:c r="C412" s="19" t="str">
        <x:f>IF(COUNTIF('Colleague 115'!$A$2:$A$116,A412)&gt;0,"Yes","No")</x:f>
        <x:v>Yes</x:v>
      </x:c>
      <x:c r="D412" s="19" t="str">
        <x:f>IF(COUNTIF('Volcano 402'!$A$2:$A$403,A412)&gt;0,"Yes","No")</x:f>
        <x:v>Yes</x:v>
      </x:c>
      <x:c r="E412" s="19" t="str">
        <x:f>IF(COUNTIF('Heatmap 169'!$A$2:$A$170,A412)&gt;0,"Yes","No")</x:f>
        <x:v>No</x:v>
      </x:c>
      <x:c r="F412" s="19" t="n">
        <x:f>COUNTIF(C412:E412,"Yes")</x:f>
        <x:v>2</x:v>
      </x:c>
      <x:c r="G412" s="10" t="str">
        <x:f>IF(F412=3,"All three",IF(F412=2,IF(C412="No","Volcano + heatmap",IF(D412="No","Colleague + heatmap","Colleague + volcano")),IF(C412="Yes","Colleague only",IF(D412="Yes","Volcano only","Heatmap only"))))</x:f>
        <x:v>Colleague + volcano</x:v>
      </x:c>
      <x:c r="H412" s="10" t="str">
        <x:v>Humoral Immunity</x:v>
      </x:c>
      <x:c r="I412" s="10" t="str">
        <x:v>Antimicrobial Peptides (AMPs)</x:v>
      </x:c>
      <x:c r="J412" s="10" t="str">
        <x:v>Antimicrobial peptides</x:v>
      </x:c>
      <x:c r="K412" s="10" t="str">
        <x:v>infection_average_all_diets; infection_diet83</x:v>
      </x:c>
      <x:c r="L412" s="10" t="str"/>
      <x:c r="M412" s="10" t="str"/>
      <x:c r="N412" s="10" t="str"/>
    </x:row>
    <x:row r="413">
      <x:c r="A413" s="10" t="str">
        <x:v>LOC126336325</x:v>
      </x:c>
      <x:c r="B413" s="10" t="str">
        <x:v>defensin-like</x:v>
      </x:c>
      <x:c r="C413" s="19" t="str">
        <x:f>IF(COUNTIF('Colleague 115'!$A$2:$A$116,A413)&gt;0,"Yes","No")</x:f>
        <x:v>Yes</x:v>
      </x:c>
      <x:c r="D413" s="19" t="str">
        <x:f>IF(COUNTIF('Volcano 402'!$A$2:$A$403,A413)&gt;0,"Yes","No")</x:f>
        <x:v>Yes</x:v>
      </x:c>
      <x:c r="E413" s="19" t="str">
        <x:f>IF(COUNTIF('Heatmap 169'!$A$2:$A$170,A413)&gt;0,"Yes","No")</x:f>
        <x:v>Yes</x:v>
      </x:c>
      <x:c r="F413" s="19" t="n">
        <x:f>COUNTIF(C413:E413,"Yes")</x:f>
        <x:v>3</x:v>
      </x:c>
      <x:c r="G413" s="10" t="str">
        <x:f>IF(F413=3,"All three",IF(F413=2,IF(C413="No","Volcano + heatmap",IF(D413="No","Colleague + heatmap","Colleague + volcano")),IF(C413="Yes","Colleague only",IF(D413="Yes","Volcano only","Heatmap only"))))</x:f>
        <x:v>All three</x:v>
      </x:c>
      <x:c r="H413" s="10" t="str">
        <x:v>Humoral Immunity</x:v>
      </x:c>
      <x:c r="I413" s="10" t="str">
        <x:v>Antimicrobial Peptides (AMPs)</x:v>
      </x:c>
      <x:c r="J413" s="10" t="str">
        <x:v>Antimicrobial peptides</x:v>
      </x:c>
      <x:c r="K413" s="10" t="str">
        <x:v>infection_average_all_diets; infection_diet33; infection_diet50; infection_diet83</x:v>
      </x:c>
      <x:c r="L413" s="10" t="str">
        <x:v>Functional candidate</x:v>
      </x:c>
      <x:c r="M413" s="10" t="str">
        <x:v>Immune-related</x:v>
      </x:c>
      <x:c r="N413" s="10" t="str">
        <x:v>DEG</x:v>
      </x:c>
    </x:row>
    <x:row r="414">
      <x:c r="A414" s="10" t="str">
        <x:v>LOC126336399</x:v>
      </x:c>
      <x:c r="B414" s="10" t="str">
        <x:v>FAR-17a/AIG1-like protein</x:v>
      </x:c>
      <x:c r="C414" s="19" t="str">
        <x:f>IF(COUNTIF('Colleague 115'!$A$2:$A$116,A414)&gt;0,"Yes","No")</x:f>
        <x:v>No</x:v>
      </x:c>
      <x:c r="D414" s="19" t="str">
        <x:f>IF(COUNTIF('Volcano 402'!$A$2:$A$403,A414)&gt;0,"Yes","No")</x:f>
        <x:v>No</x:v>
      </x:c>
      <x:c r="E414" s="19" t="str">
        <x:f>IF(COUNTIF('Heatmap 169'!$A$2:$A$170,A414)&gt;0,"Yes","No")</x:f>
        <x:v>Yes</x:v>
      </x:c>
      <x:c r="F414" s="19" t="n">
        <x:f>COUNTIF(C414:E414,"Yes")</x:f>
        <x:v>1</x:v>
      </x:c>
      <x:c r="G414" s="10" t="str">
        <x:f>IF(F414=3,"All three",IF(F414=2,IF(C414="No","Volcano + heatmap",IF(D414="No","Colleague + heatmap","Colleague + volcano")),IF(C414="Yes","Colleague only",IF(D414="Yes","Volcano only","Heatmap only"))))</x:f>
        <x:v>Heatmap only</x:v>
      </x:c>
      <x:c r="H414" s="10" t="str"/>
      <x:c r="I414" s="10" t="str"/>
      <x:c r="J414" s="10" t="str"/>
      <x:c r="K414" s="10" t="str"/>
      <x:c r="L414" s="10" t="str">
        <x:v>Top DEG</x:v>
      </x:c>
      <x:c r="M414" s="10" t="str">
        <x:v>Other strong DEG</x:v>
      </x:c>
      <x:c r="N414" s="10" t="str">
        <x:v>DEG</x:v>
      </x:c>
    </x:row>
    <x:row r="415">
      <x:c r="A415" s="10" t="str">
        <x:v>LOC126336408</x:v>
      </x:c>
      <x:c r="B415" s="10" t="str">
        <x:v>Hemocyanin, all-alpha domain</x:v>
      </x:c>
      <x:c r="C415" s="19" t="str">
        <x:f>IF(COUNTIF('Colleague 115'!$A$2:$A$116,A415)&gt;0,"Yes","No")</x:f>
        <x:v>No</x:v>
      </x:c>
      <x:c r="D415" s="19" t="str">
        <x:f>IF(COUNTIF('Volcano 402'!$A$2:$A$403,A415)&gt;0,"Yes","No")</x:f>
        <x:v>No</x:v>
      </x:c>
      <x:c r="E415" s="19" t="str">
        <x:f>IF(COUNTIF('Heatmap 169'!$A$2:$A$170,A415)&gt;0,"Yes","No")</x:f>
        <x:v>Yes</x:v>
      </x:c>
      <x:c r="F415" s="19" t="n">
        <x:f>COUNTIF(C415:E415,"Yes")</x:f>
        <x:v>1</x:v>
      </x:c>
      <x:c r="G415" s="10" t="str">
        <x:f>IF(F415=3,"All three",IF(F415=2,IF(C415="No","Volcano + heatmap",IF(D415="No","Colleague + heatmap","Colleague + volcano")),IF(C415="Yes","Colleague only",IF(D415="Yes","Volcano only","Heatmap only"))))</x:f>
        <x:v>Heatmap only</x:v>
      </x:c>
      <x:c r="H415" s="10" t="str"/>
      <x:c r="I415" s="10" t="str"/>
      <x:c r="J415" s="10" t="str"/>
      <x:c r="K415" s="10" t="str"/>
      <x:c r="L415" s="10" t="str">
        <x:v>Functional candidate</x:v>
      </x:c>
      <x:c r="M415" s="10" t="str">
        <x:v>Storage/lipid transport</x:v>
      </x:c>
      <x:c r="N415" s="10" t="str">
        <x:v>Not DEG</x:v>
      </x:c>
    </x:row>
    <x:row r="416">
      <x:c r="A416" s="10" t="str">
        <x:v>LOC126336409</x:v>
      </x:c>
      <x:c r="B416" s="10" t="str">
        <x:v>hexamerin-like</x:v>
      </x:c>
      <x:c r="C416" s="19" t="str">
        <x:f>IF(COUNTIF('Colleague 115'!$A$2:$A$116,A416)&gt;0,"Yes","No")</x:f>
        <x:v>Yes</x:v>
      </x:c>
      <x:c r="D416" s="19" t="str">
        <x:f>IF(COUNTIF('Volcano 402'!$A$2:$A$403,A416)&gt;0,"Yes","No")</x:f>
        <x:v>Yes</x:v>
      </x:c>
      <x:c r="E416" s="19" t="str">
        <x:f>IF(COUNTIF('Heatmap 169'!$A$2:$A$170,A416)&gt;0,"Yes","No")</x:f>
        <x:v>Yes</x:v>
      </x:c>
      <x:c r="F416" s="19" t="n">
        <x:f>COUNTIF(C416:E416,"Yes")</x:f>
        <x:v>3</x:v>
      </x:c>
      <x:c r="G416" s="10" t="str">
        <x:f>IF(F416=3,"All three",IF(F416=2,IF(C416="No","Volcano + heatmap",IF(D416="No","Colleague + heatmap","Colleague + volcano")),IF(C416="Yes","Colleague only",IF(D416="Yes","Volcano only","Heatmap only"))))</x:f>
        <x:v>All three</x:v>
      </x:c>
      <x:c r="H416" s="10" t="str">
        <x:v>Storage Hexamerins &amp; Reserves</x:v>
      </x:c>
      <x:c r="I416" s="10" t="str">
        <x:v>Hexamerin Storage Proteins</x:v>
      </x:c>
      <x:c r="J416" s="10" t="str">
        <x:v>Immune-related</x:v>
      </x:c>
      <x:c r="K416" s="10" t="str">
        <x:v>infected_diet33_vs50; infection_diet33</x:v>
      </x:c>
      <x:c r="L416" s="10" t="str">
        <x:v>Functional candidate</x:v>
      </x:c>
      <x:c r="M416" s="10" t="str">
        <x:v>Storage/lipid transport</x:v>
      </x:c>
      <x:c r="N416" s="10" t="str">
        <x:v>DEG</x:v>
      </x:c>
    </x:row>
    <x:row r="417">
      <x:c r="A417" s="10" t="str">
        <x:v>LOC126336414</x:v>
      </x:c>
      <x:c r="B417" s="10" t="str">
        <x:v>hemocyanin-like</x:v>
      </x:c>
      <x:c r="C417" s="19" t="str">
        <x:f>IF(COUNTIF('Colleague 115'!$A$2:$A$116,A417)&gt;0,"Yes","No")</x:f>
        <x:v>No</x:v>
      </x:c>
      <x:c r="D417" s="19" t="str">
        <x:f>IF(COUNTIF('Volcano 402'!$A$2:$A$403,A417)&gt;0,"Yes","No")</x:f>
        <x:v>Yes</x:v>
      </x:c>
      <x:c r="E417" s="19" t="str">
        <x:f>IF(COUNTIF('Heatmap 169'!$A$2:$A$170,A417)&gt;0,"Yes","No")</x:f>
        <x:v>No</x:v>
      </x:c>
      <x:c r="F417" s="19" t="n">
        <x:f>COUNTIF(C417:E417,"Yes")</x:f>
        <x:v>1</x:v>
      </x:c>
      <x:c r="G417" s="10" t="str">
        <x:f>IF(F417=3,"All three",IF(F417=2,IF(C417="No","Volcano + heatmap",IF(D417="No","Colleague + heatmap","Colleague + volcano")),IF(C417="Yes","Colleague only",IF(D417="Yes","Volcano only","Heatmap only"))))</x:f>
        <x:v>Volcano only</x:v>
      </x:c>
      <x:c r="H417" s="10" t="str"/>
      <x:c r="I417" s="10" t="str"/>
      <x:c r="J417" s="10" t="str">
        <x:v>Immune-related</x:v>
      </x:c>
      <x:c r="K417" s="10" t="str">
        <x:v>infection_average_all_diets; infection_diet33; infection_diet50; infection_diet83</x:v>
      </x:c>
      <x:c r="L417" s="10" t="str"/>
      <x:c r="M417" s="10" t="str"/>
      <x:c r="N417" s="10" t="str"/>
    </x:row>
    <x:row r="418">
      <x:c r="A418" s="10" t="str">
        <x:v>LOC126336415</x:v>
      </x:c>
      <x:c r="B418" s="10" t="str">
        <x:v>allergen Cr-PI-like</x:v>
      </x:c>
      <x:c r="C418" s="19" t="str">
        <x:f>IF(COUNTIF('Colleague 115'!$A$2:$A$116,A418)&gt;0,"Yes","No")</x:f>
        <x:v>No</x:v>
      </x:c>
      <x:c r="D418" s="19" t="str">
        <x:f>IF(COUNTIF('Volcano 402'!$A$2:$A$403,A418)&gt;0,"Yes","No")</x:f>
        <x:v>Yes</x:v>
      </x:c>
      <x:c r="E418" s="19" t="str">
        <x:f>IF(COUNTIF('Heatmap 169'!$A$2:$A$170,A418)&gt;0,"Yes","No")</x:f>
        <x:v>Yes</x:v>
      </x:c>
      <x:c r="F418" s="19" t="n">
        <x:f>COUNTIF(C418:E418,"Yes")</x:f>
        <x:v>2</x:v>
      </x:c>
      <x:c r="G418" s="10" t="str">
        <x:f>IF(F418=3,"All three",IF(F418=2,IF(C418="No","Volcano + heatmap",IF(D418="No","Colleague + heatmap","Colleague + volcano")),IF(C418="Yes","Colleague only",IF(D418="Yes","Volcano only","Heatmap only"))))</x:f>
        <x:v>Volcano + heatmap</x:v>
      </x:c>
      <x:c r="H418" s="10" t="str"/>
      <x:c r="I418" s="10" t="str"/>
      <x:c r="J418" s="10" t="str">
        <x:v>Immune-related</x:v>
      </x:c>
      <x:c r="K418" s="10" t="str">
        <x:v>infection_average_all_diets; infection_diet50; infection_diet83</x:v>
      </x:c>
      <x:c r="L418" s="10" t="str">
        <x:v>Functional candidate</x:v>
      </x:c>
      <x:c r="M418" s="10" t="str">
        <x:v>Storage/lipid transport</x:v>
      </x:c>
      <x:c r="N418" s="10" t="str">
        <x:v>DEG</x:v>
      </x:c>
    </x:row>
    <x:row r="419">
      <x:c r="A419" s="10" t="str">
        <x:v>LOC126336416</x:v>
      </x:c>
      <x:c r="B419" s="10" t="str">
        <x:v>allergen Cr-PI-like</x:v>
      </x:c>
      <x:c r="C419" s="19" t="str">
        <x:f>IF(COUNTIF('Colleague 115'!$A$2:$A$116,A419)&gt;0,"Yes","No")</x:f>
        <x:v>No</x:v>
      </x:c>
      <x:c r="D419" s="19" t="str">
        <x:f>IF(COUNTIF('Volcano 402'!$A$2:$A$403,A419)&gt;0,"Yes","No")</x:f>
        <x:v>Yes</x:v>
      </x:c>
      <x:c r="E419" s="19" t="str">
        <x:f>IF(COUNTIF('Heatmap 169'!$A$2:$A$170,A419)&gt;0,"Yes","No")</x:f>
        <x:v>Yes</x:v>
      </x:c>
      <x:c r="F419" s="19" t="n">
        <x:f>COUNTIF(C419:E419,"Yes")</x:f>
        <x:v>2</x:v>
      </x:c>
      <x:c r="G419" s="10" t="str">
        <x:f>IF(F419=3,"All three",IF(F419=2,IF(C419="No","Volcano + heatmap",IF(D419="No","Colleague + heatmap","Colleague + volcano")),IF(C419="Yes","Colleague only",IF(D419="Yes","Volcano only","Heatmap only"))))</x:f>
        <x:v>Volcano + heatmap</x:v>
      </x:c>
      <x:c r="H419" s="10" t="str"/>
      <x:c r="I419" s="10" t="str"/>
      <x:c r="J419" s="10" t="str">
        <x:v>Immune-related</x:v>
      </x:c>
      <x:c r="K419" s="10" t="str">
        <x:v>infection_average_all_diets; infection_diet33; infection_diet50; infection_diet83</x:v>
      </x:c>
      <x:c r="L419" s="10" t="str">
        <x:v>Functional candidate</x:v>
      </x:c>
      <x:c r="M419" s="10" t="str">
        <x:v>Storage/lipid transport</x:v>
      </x:c>
      <x:c r="N419" s="10" t="str">
        <x:v>DEG</x:v>
      </x:c>
    </x:row>
    <x:row r="420">
      <x:c r="A420" s="10" t="str">
        <x:v>LOC126336417</x:v>
      </x:c>
      <x:c r="B420" s="10" t="str">
        <x:v>hexamerin-like</x:v>
      </x:c>
      <x:c r="C420" s="19" t="str">
        <x:f>IF(COUNTIF('Colleague 115'!$A$2:$A$116,A420)&gt;0,"Yes","No")</x:f>
        <x:v>Yes</x:v>
      </x:c>
      <x:c r="D420" s="19" t="str">
        <x:f>IF(COUNTIF('Volcano 402'!$A$2:$A$403,A420)&gt;0,"Yes","No")</x:f>
        <x:v>Yes</x:v>
      </x:c>
      <x:c r="E420" s="19" t="str">
        <x:f>IF(COUNTIF('Heatmap 169'!$A$2:$A$170,A420)&gt;0,"Yes","No")</x:f>
        <x:v>No</x:v>
      </x:c>
      <x:c r="F420" s="19" t="n">
        <x:f>COUNTIF(C420:E420,"Yes")</x:f>
        <x:v>2</x:v>
      </x:c>
      <x:c r="G420" s="10" t="str">
        <x:f>IF(F420=3,"All three",IF(F420=2,IF(C420="No","Volcano + heatmap",IF(D420="No","Colleague + heatmap","Colleague + volcano")),IF(C420="Yes","Colleague only",IF(D420="Yes","Volcano only","Heatmap only"))))</x:f>
        <x:v>Colleague + volcano</x:v>
      </x:c>
      <x:c r="H420" s="10" t="str">
        <x:v>Storage Hexamerins &amp; Reserves</x:v>
      </x:c>
      <x:c r="I420" s="10" t="str">
        <x:v>Hexamerin Storage Proteins</x:v>
      </x:c>
      <x:c r="J420" s="10" t="str">
        <x:v>Protein synthesis / storage</x:v>
      </x:c>
      <x:c r="K420" s="10" t="str">
        <x:v>infection_average_all_diets; infection_diet50</x:v>
      </x:c>
      <x:c r="L420" s="10" t="str"/>
      <x:c r="M420" s="10" t="str"/>
      <x:c r="N420" s="10" t="str"/>
    </x:row>
    <x:row r="421">
      <x:c r="A421" s="10" t="str">
        <x:v>LOC126336514</x:v>
      </x:c>
      <x:c r="B421" s="10" t="str">
        <x:v>sterol O-acyltransferase 1-like</x:v>
      </x:c>
      <x:c r="C421" s="19" t="str">
        <x:f>IF(COUNTIF('Colleague 115'!$A$2:$A$116,A421)&gt;0,"Yes","No")</x:f>
        <x:v>No</x:v>
      </x:c>
      <x:c r="D421" s="19" t="str">
        <x:f>IF(COUNTIF('Volcano 402'!$A$2:$A$403,A421)&gt;0,"Yes","No")</x:f>
        <x:v>Yes</x:v>
      </x:c>
      <x:c r="E421" s="19" t="str">
        <x:f>IF(COUNTIF('Heatmap 169'!$A$2:$A$170,A421)&gt;0,"Yes","No")</x:f>
        <x:v>No</x:v>
      </x:c>
      <x:c r="F421" s="19" t="n">
        <x:f>COUNTIF(C421:E421,"Yes")</x:f>
        <x:v>1</x:v>
      </x:c>
      <x:c r="G421" s="10" t="str">
        <x:f>IF(F421=3,"All three",IF(F421=2,IF(C421="No","Volcano + heatmap",IF(D421="No","Colleague + heatmap","Colleague + volcano")),IF(C421="Yes","Colleague only",IF(D421="Yes","Volcano only","Heatmap only"))))</x:f>
        <x:v>Volcano only</x:v>
      </x:c>
      <x:c r="H421" s="10" t="str"/>
      <x:c r="I421" s="10" t="str"/>
      <x:c r="J421" s="10" t="str">
        <x:v>Lipid synthesis / metabolism</x:v>
      </x:c>
      <x:c r="K421" s="10" t="str">
        <x:v>infection_average_all_diets; infection_diet83</x:v>
      </x:c>
      <x:c r="L421" s="10" t="str"/>
      <x:c r="M421" s="10" t="str"/>
      <x:c r="N421" s="10" t="str"/>
    </x:row>
    <x:row r="422">
      <x:c r="A422" s="10" t="str">
        <x:v>LOC126336533</x:v>
      </x:c>
      <x:c r="B422" s="10" t="str"/>
      <x:c r="C422" s="19" t="str">
        <x:f>IF(COUNTIF('Colleague 115'!$A$2:$A$116,A422)&gt;0,"Yes","No")</x:f>
        <x:v>No</x:v>
      </x:c>
      <x:c r="D422" s="19" t="str">
        <x:f>IF(COUNTIF('Volcano 402'!$A$2:$A$403,A422)&gt;0,"Yes","No")</x:f>
        <x:v>No</x:v>
      </x:c>
      <x:c r="E422" s="19" t="str">
        <x:f>IF(COUNTIF('Heatmap 169'!$A$2:$A$170,A422)&gt;0,"Yes","No")</x:f>
        <x:v>Yes</x:v>
      </x:c>
      <x:c r="F422" s="19" t="n">
        <x:f>COUNTIF(C422:E422,"Yes")</x:f>
        <x:v>1</x:v>
      </x:c>
      <x:c r="G422" s="10" t="str">
        <x:f>IF(F422=3,"All three",IF(F422=2,IF(C422="No","Volcano + heatmap",IF(D422="No","Colleague + heatmap","Colleague + volcano")),IF(C422="Yes","Colleague only",IF(D422="Yes","Volcano only","Heatmap only"))))</x:f>
        <x:v>Heatmap only</x:v>
      </x:c>
      <x:c r="H422" s="10" t="str"/>
      <x:c r="I422" s="10" t="str"/>
      <x:c r="J422" s="10" t="str"/>
      <x:c r="K422" s="10" t="str"/>
      <x:c r="L422" s="10" t="str">
        <x:v>Top DEG</x:v>
      </x:c>
      <x:c r="M422" s="10" t="str">
        <x:v>Other strong DEG</x:v>
      </x:c>
      <x:c r="N422" s="10" t="str">
        <x:v>DEG</x:v>
      </x:c>
    </x:row>
    <x:row r="423">
      <x:c r="A423" s="10" t="str">
        <x:v>LOC126336534</x:v>
      </x:c>
      <x:c r="B423" s="10" t="str"/>
      <x:c r="C423" s="19" t="str">
        <x:f>IF(COUNTIF('Colleague 115'!$A$2:$A$116,A423)&gt;0,"Yes","No")</x:f>
        <x:v>No</x:v>
      </x:c>
      <x:c r="D423" s="19" t="str">
        <x:f>IF(COUNTIF('Volcano 402'!$A$2:$A$403,A423)&gt;0,"Yes","No")</x:f>
        <x:v>No</x:v>
      </x:c>
      <x:c r="E423" s="19" t="str">
        <x:f>IF(COUNTIF('Heatmap 169'!$A$2:$A$170,A423)&gt;0,"Yes","No")</x:f>
        <x:v>Yes</x:v>
      </x:c>
      <x:c r="F423" s="19" t="n">
        <x:f>COUNTIF(C423:E423,"Yes")</x:f>
        <x:v>1</x:v>
      </x:c>
      <x:c r="G423" s="10" t="str">
        <x:f>IF(F423=3,"All three",IF(F423=2,IF(C423="No","Volcano + heatmap",IF(D423="No","Colleague + heatmap","Colleague + volcano")),IF(C423="Yes","Colleague only",IF(D423="Yes","Volcano only","Heatmap only"))))</x:f>
        <x:v>Heatmap only</x:v>
      </x:c>
      <x:c r="H423" s="10" t="str"/>
      <x:c r="I423" s="10" t="str"/>
      <x:c r="J423" s="10" t="str"/>
      <x:c r="K423" s="10" t="str"/>
      <x:c r="L423" s="10" t="str">
        <x:v>Top DEG</x:v>
      </x:c>
      <x:c r="M423" s="10" t="str">
        <x:v>Other strong DEG</x:v>
      </x:c>
      <x:c r="N423" s="10" t="str">
        <x:v>DEG</x:v>
      </x:c>
    </x:row>
    <x:row r="424">
      <x:c r="A424" s="10" t="str">
        <x:v>LOC126336538</x:v>
      </x:c>
      <x:c r="B424" s="10" t="str"/>
      <x:c r="C424" s="19" t="str">
        <x:f>IF(COUNTIF('Colleague 115'!$A$2:$A$116,A424)&gt;0,"Yes","No")</x:f>
        <x:v>No</x:v>
      </x:c>
      <x:c r="D424" s="19" t="str">
        <x:f>IF(COUNTIF('Volcano 402'!$A$2:$A$403,A424)&gt;0,"Yes","No")</x:f>
        <x:v>No</x:v>
      </x:c>
      <x:c r="E424" s="19" t="str">
        <x:f>IF(COUNTIF('Heatmap 169'!$A$2:$A$170,A424)&gt;0,"Yes","No")</x:f>
        <x:v>Yes</x:v>
      </x:c>
      <x:c r="F424" s="19" t="n">
        <x:f>COUNTIF(C424:E424,"Yes")</x:f>
        <x:v>1</x:v>
      </x:c>
      <x:c r="G424" s="10" t="str">
        <x:f>IF(F424=3,"All three",IF(F424=2,IF(C424="No","Volcano + heatmap",IF(D424="No","Colleague + heatmap","Colleague + volcano")),IF(C424="Yes","Colleague only",IF(D424="Yes","Volcano only","Heatmap only"))))</x:f>
        <x:v>Heatmap only</x:v>
      </x:c>
      <x:c r="H424" s="10" t="str"/>
      <x:c r="I424" s="10" t="str"/>
      <x:c r="J424" s="10" t="str"/>
      <x:c r="K424" s="10" t="str"/>
      <x:c r="L424" s="10" t="str">
        <x:v>Top DEG</x:v>
      </x:c>
      <x:c r="M424" s="10" t="str">
        <x:v>Other strong DEG</x:v>
      </x:c>
      <x:c r="N424" s="10" t="str">
        <x:v>DEG</x:v>
      </x:c>
    </x:row>
    <x:row r="425">
      <x:c r="A425" s="10" t="str">
        <x:v>LOC126336554</x:v>
      </x:c>
      <x:c r="B425" s="10" t="str"/>
      <x:c r="C425" s="19" t="str">
        <x:f>IF(COUNTIF('Colleague 115'!$A$2:$A$116,A425)&gt;0,"Yes","No")</x:f>
        <x:v>No</x:v>
      </x:c>
      <x:c r="D425" s="19" t="str">
        <x:f>IF(COUNTIF('Volcano 402'!$A$2:$A$403,A425)&gt;0,"Yes","No")</x:f>
        <x:v>No</x:v>
      </x:c>
      <x:c r="E425" s="19" t="str">
        <x:f>IF(COUNTIF('Heatmap 169'!$A$2:$A$170,A425)&gt;0,"Yes","No")</x:f>
        <x:v>Yes</x:v>
      </x:c>
      <x:c r="F425" s="19" t="n">
        <x:f>COUNTIF(C425:E425,"Yes")</x:f>
        <x:v>1</x:v>
      </x:c>
      <x:c r="G425" s="10" t="str">
        <x:f>IF(F425=3,"All three",IF(F425=2,IF(C425="No","Volcano + heatmap",IF(D425="No","Colleague + heatmap","Colleague + volcano")),IF(C425="Yes","Colleague only",IF(D425="Yes","Volcano only","Heatmap only"))))</x:f>
        <x:v>Heatmap only</x:v>
      </x:c>
      <x:c r="H425" s="10" t="str"/>
      <x:c r="I425" s="10" t="str"/>
      <x:c r="J425" s="10" t="str"/>
      <x:c r="K425" s="10" t="str"/>
      <x:c r="L425" s="10" t="str">
        <x:v>Top DEG</x:v>
      </x:c>
      <x:c r="M425" s="10" t="str">
        <x:v>Other strong DEG</x:v>
      </x:c>
      <x:c r="N425" s="10" t="str">
        <x:v>DEG</x:v>
      </x:c>
    </x:row>
    <x:row r="426">
      <x:c r="A426" s="10" t="str">
        <x:v>LOC126336578</x:v>
      </x:c>
      <x:c r="B426" s="10" t="str">
        <x:v>Immunoglobulin V-set domain</x:v>
      </x:c>
      <x:c r="C426" s="19" t="str">
        <x:f>IF(COUNTIF('Colleague 115'!$A$2:$A$116,A426)&gt;0,"Yes","No")</x:f>
        <x:v>No</x:v>
      </x:c>
      <x:c r="D426" s="19" t="str">
        <x:f>IF(COUNTIF('Volcano 402'!$A$2:$A$403,A426)&gt;0,"Yes","No")</x:f>
        <x:v>No</x:v>
      </x:c>
      <x:c r="E426" s="19" t="str">
        <x:f>IF(COUNTIF('Heatmap 169'!$A$2:$A$170,A426)&gt;0,"Yes","No")</x:f>
        <x:v>Yes</x:v>
      </x:c>
      <x:c r="F426" s="19" t="n">
        <x:f>COUNTIF(C426:E426,"Yes")</x:f>
        <x:v>1</x:v>
      </x:c>
      <x:c r="G426" s="10" t="str">
        <x:f>IF(F426=3,"All three",IF(F426=2,IF(C426="No","Volcano + heatmap",IF(D426="No","Colleague + heatmap","Colleague + volcano")),IF(C426="Yes","Colleague only",IF(D426="Yes","Volcano only","Heatmap only"))))</x:f>
        <x:v>Heatmap only</x:v>
      </x:c>
      <x:c r="H426" s="10" t="str"/>
      <x:c r="I426" s="10" t="str"/>
      <x:c r="J426" s="10" t="str"/>
      <x:c r="K426" s="10" t="str"/>
      <x:c r="L426" s="10" t="str">
        <x:v>Functional candidate</x:v>
      </x:c>
      <x:c r="M426" s="10" t="str">
        <x:v>Immune-related</x:v>
      </x:c>
      <x:c r="N426" s="10" t="str">
        <x:v>DEG</x:v>
      </x:c>
    </x:row>
    <x:row r="427">
      <x:c r="A427" s="10" t="str">
        <x:v>LOC126336597</x:v>
      </x:c>
      <x:c r="B427" s="10" t="str">
        <x:v>Insect cuticle protein</x:v>
      </x:c>
      <x:c r="C427" s="19" t="str">
        <x:f>IF(COUNTIF('Colleague 115'!$A$2:$A$116,A427)&gt;0,"Yes","No")</x:f>
        <x:v>No</x:v>
      </x:c>
      <x:c r="D427" s="19" t="str">
        <x:f>IF(COUNTIF('Volcano 402'!$A$2:$A$403,A427)&gt;0,"Yes","No")</x:f>
        <x:v>No</x:v>
      </x:c>
      <x:c r="E427" s="19" t="str">
        <x:f>IF(COUNTIF('Heatmap 169'!$A$2:$A$170,A427)&gt;0,"Yes","No")</x:f>
        <x:v>Yes</x:v>
      </x:c>
      <x:c r="F427" s="19" t="n">
        <x:f>COUNTIF(C427:E427,"Yes")</x:f>
        <x:v>1</x:v>
      </x:c>
      <x:c r="G427" s="10" t="str">
        <x:f>IF(F427=3,"All three",IF(F427=2,IF(C427="No","Volcano + heatmap",IF(D427="No","Colleague + heatmap","Colleague + volcano")),IF(C427="Yes","Colleague only",IF(D427="Yes","Volcano only","Heatmap only"))))</x:f>
        <x:v>Heatmap only</x:v>
      </x:c>
      <x:c r="H427" s="10" t="str"/>
      <x:c r="I427" s="10" t="str"/>
      <x:c r="J427" s="10" t="str"/>
      <x:c r="K427" s="10" t="str"/>
      <x:c r="L427" s="10" t="str">
        <x:v>Top DEG</x:v>
      </x:c>
      <x:c r="M427" s="10" t="str">
        <x:v>Other strong DEG</x:v>
      </x:c>
      <x:c r="N427" s="10" t="str">
        <x:v>DEG</x:v>
      </x:c>
    </x:row>
    <x:row r="428">
      <x:c r="A428" s="10" t="str">
        <x:v>LOC126336641</x:v>
      </x:c>
      <x:c r="B428" s="10" t="str">
        <x:v>N-acetylmuramoyl-L-alanine amidase activity. It is involved in the biological process described with peptidoglycan catabolic process</x:v>
      </x:c>
      <x:c r="C428" s="19" t="str">
        <x:f>IF(COUNTIF('Colleague 115'!$A$2:$A$116,A428)&gt;0,"Yes","No")</x:f>
        <x:v>No</x:v>
      </x:c>
      <x:c r="D428" s="19" t="str">
        <x:f>IF(COUNTIF('Volcano 402'!$A$2:$A$403,A428)&gt;0,"Yes","No")</x:f>
        <x:v>No</x:v>
      </x:c>
      <x:c r="E428" s="19" t="str">
        <x:f>IF(COUNTIF('Heatmap 169'!$A$2:$A$170,A428)&gt;0,"Yes","No")</x:f>
        <x:v>Yes</x:v>
      </x:c>
      <x:c r="F428" s="19" t="n">
        <x:f>COUNTIF(C428:E428,"Yes")</x:f>
        <x:v>1</x:v>
      </x:c>
      <x:c r="G428" s="10" t="str">
        <x:f>IF(F428=3,"All three",IF(F428=2,IF(C428="No","Volcano + heatmap",IF(D428="No","Colleague + heatmap","Colleague + volcano")),IF(C428="Yes","Colleague only",IF(D428="Yes","Volcano only","Heatmap only"))))</x:f>
        <x:v>Heatmap only</x:v>
      </x:c>
      <x:c r="H428" s="10" t="str"/>
      <x:c r="I428" s="10" t="str"/>
      <x:c r="J428" s="10" t="str"/>
      <x:c r="K428" s="10" t="str"/>
      <x:c r="L428" s="10" t="str">
        <x:v>Functional candidate</x:v>
      </x:c>
      <x:c r="M428" s="10" t="str">
        <x:v>Immune-related</x:v>
      </x:c>
      <x:c r="N428" s="10" t="str">
        <x:v>Not DEG</x:v>
      </x:c>
    </x:row>
    <x:row r="429">
      <x:c r="A429" s="10" t="str">
        <x:v>LOC126336688</x:v>
      </x:c>
      <x:c r="B429" s="10" t="str">
        <x:v>Transmembrane transporter activity. It is involved in the biological process described with transmembrane transport</x:v>
      </x:c>
      <x:c r="C429" s="19" t="str">
        <x:f>IF(COUNTIF('Colleague 115'!$A$2:$A$116,A429)&gt;0,"Yes","No")</x:f>
        <x:v>No</x:v>
      </x:c>
      <x:c r="D429" s="19" t="str">
        <x:f>IF(COUNTIF('Volcano 402'!$A$2:$A$403,A429)&gt;0,"Yes","No")</x:f>
        <x:v>No</x:v>
      </x:c>
      <x:c r="E429" s="19" t="str">
        <x:f>IF(COUNTIF('Heatmap 169'!$A$2:$A$170,A429)&gt;0,"Yes","No")</x:f>
        <x:v>Yes</x:v>
      </x:c>
      <x:c r="F429" s="19" t="n">
        <x:f>COUNTIF(C429:E429,"Yes")</x:f>
        <x:v>1</x:v>
      </x:c>
      <x:c r="G429" s="10" t="str">
        <x:f>IF(F429=3,"All three",IF(F429=2,IF(C429="No","Volcano + heatmap",IF(D429="No","Colleague + heatmap","Colleague + volcano")),IF(C429="Yes","Colleague only",IF(D429="Yes","Volcano only","Heatmap only"))))</x:f>
        <x:v>Heatmap only</x:v>
      </x:c>
      <x:c r="H429" s="10" t="str"/>
      <x:c r="I429" s="10" t="str"/>
      <x:c r="J429" s="10" t="str"/>
      <x:c r="K429" s="10" t="str"/>
      <x:c r="L429" s="10" t="str">
        <x:v>Functional candidate</x:v>
      </x:c>
      <x:c r="M429" s="10" t="str">
        <x:v>Nutrition/metabolism</x:v>
      </x:c>
      <x:c r="N429" s="10" t="str">
        <x:v>DEG</x:v>
      </x:c>
    </x:row>
    <x:row r="430">
      <x:c r="A430" s="10" t="str">
        <x:v>LOC126336692</x:v>
      </x:c>
      <x:c r="B430" s="10" t="str">
        <x:v>glutathione S-transferase-like</x:v>
      </x:c>
      <x:c r="C430" s="19" t="str">
        <x:f>IF(COUNTIF('Colleague 115'!$A$2:$A$116,A430)&gt;0,"Yes","No")</x:f>
        <x:v>No</x:v>
      </x:c>
      <x:c r="D430" s="19" t="str">
        <x:f>IF(COUNTIF('Volcano 402'!$A$2:$A$403,A430)&gt;0,"Yes","No")</x:f>
        <x:v>Yes</x:v>
      </x:c>
      <x:c r="E430" s="19" t="str">
        <x:f>IF(COUNTIF('Heatmap 169'!$A$2:$A$170,A430)&gt;0,"Yes","No")</x:f>
        <x:v>No</x:v>
      </x:c>
      <x:c r="F430" s="19" t="n">
        <x:f>COUNTIF(C430:E430,"Yes")</x:f>
        <x:v>1</x:v>
      </x:c>
      <x:c r="G430" s="10" t="str">
        <x:f>IF(F430=3,"All three",IF(F430=2,IF(C430="No","Volcano + heatmap",IF(D430="No","Colleague + heatmap","Colleague + volcano")),IF(C430="Yes","Colleague only",IF(D430="Yes","Volcano only","Heatmap only"))))</x:f>
        <x:v>Volcano only</x:v>
      </x:c>
      <x:c r="H430" s="10" t="str"/>
      <x:c r="I430" s="10" t="str"/>
      <x:c r="J430" s="10" t="str">
        <x:v>Detoxification / stress</x:v>
      </x:c>
      <x:c r="K430" s="10" t="str">
        <x:v>infection_average_all_diets; infection_diet33; infection_diet50</x:v>
      </x:c>
      <x:c r="L430" s="10" t="str"/>
      <x:c r="M430" s="10" t="str"/>
      <x:c r="N430" s="10" t="str"/>
    </x:row>
    <x:row r="431">
      <x:c r="A431" s="10" t="str">
        <x:v>LOC126336693</x:v>
      </x:c>
      <x:c r="B431" s="10" t="str">
        <x:v>glutathione S-transferase-like</x:v>
      </x:c>
      <x:c r="C431" s="19" t="str">
        <x:f>IF(COUNTIF('Colleague 115'!$A$2:$A$116,A431)&gt;0,"Yes","No")</x:f>
        <x:v>No</x:v>
      </x:c>
      <x:c r="D431" s="19" t="str">
        <x:f>IF(COUNTIF('Volcano 402'!$A$2:$A$403,A431)&gt;0,"Yes","No")</x:f>
        <x:v>Yes</x:v>
      </x:c>
      <x:c r="E431" s="19" t="str">
        <x:f>IF(COUNTIF('Heatmap 169'!$A$2:$A$170,A431)&gt;0,"Yes","No")</x:f>
        <x:v>No</x:v>
      </x:c>
      <x:c r="F431" s="19" t="n">
        <x:f>COUNTIF(C431:E431,"Yes")</x:f>
        <x:v>1</x:v>
      </x:c>
      <x:c r="G431" s="10" t="str">
        <x:f>IF(F431=3,"All three",IF(F431=2,IF(C431="No","Volcano + heatmap",IF(D431="No","Colleague + heatmap","Colleague + volcano")),IF(C431="Yes","Colleague only",IF(D431="Yes","Volcano only","Heatmap only"))))</x:f>
        <x:v>Volcano only</x:v>
      </x:c>
      <x:c r="H431" s="10" t="str"/>
      <x:c r="I431" s="10" t="str"/>
      <x:c r="J431" s="10" t="str">
        <x:v>Detoxification / stress</x:v>
      </x:c>
      <x:c r="K431" s="10" t="str">
        <x:v>infection_average_all_diets</x:v>
      </x:c>
      <x:c r="L431" s="10" t="str"/>
      <x:c r="M431" s="10" t="str"/>
      <x:c r="N431" s="10" t="str"/>
    </x:row>
    <x:row r="432">
      <x:c r="A432" s="10" t="str">
        <x:v>LOC126336695</x:v>
      </x:c>
      <x:c r="B432" s="10" t="str">
        <x:v>glutathione S-transferase-like</x:v>
      </x:c>
      <x:c r="C432" s="19" t="str">
        <x:f>IF(COUNTIF('Colleague 115'!$A$2:$A$116,A432)&gt;0,"Yes","No")</x:f>
        <x:v>No</x:v>
      </x:c>
      <x:c r="D432" s="19" t="str">
        <x:f>IF(COUNTIF('Volcano 402'!$A$2:$A$403,A432)&gt;0,"Yes","No")</x:f>
        <x:v>Yes</x:v>
      </x:c>
      <x:c r="E432" s="19" t="str">
        <x:f>IF(COUNTIF('Heatmap 169'!$A$2:$A$170,A432)&gt;0,"Yes","No")</x:f>
        <x:v>Yes</x:v>
      </x:c>
      <x:c r="F432" s="19" t="n">
        <x:f>COUNTIF(C432:E432,"Yes")</x:f>
        <x:v>2</x:v>
      </x:c>
      <x:c r="G432" s="10" t="str">
        <x:f>IF(F432=3,"All three",IF(F432=2,IF(C432="No","Volcano + heatmap",IF(D432="No","Colleague + heatmap","Colleague + volcano")),IF(C432="Yes","Colleague only",IF(D432="Yes","Volcano only","Heatmap only"))))</x:f>
        <x:v>Volcano + heatmap</x:v>
      </x:c>
      <x:c r="H432" s="10" t="str"/>
      <x:c r="I432" s="10" t="str"/>
      <x:c r="J432" s="10" t="str">
        <x:v>Detoxification / stress</x:v>
      </x:c>
      <x:c r="K432" s="10" t="str">
        <x:v>infection_average_all_diets; infection_diet33; infection_diet50; infection_diet83</x:v>
      </x:c>
      <x:c r="L432" s="10" t="str">
        <x:v>Functional candidate</x:v>
      </x:c>
      <x:c r="M432" s="10" t="str">
        <x:v>Detoxification/stress</x:v>
      </x:c>
      <x:c r="N432" s="10" t="str">
        <x:v>DEG</x:v>
      </x:c>
    </x:row>
    <x:row r="433">
      <x:c r="A433" s="10" t="str">
        <x:v>LOC126336697</x:v>
      </x:c>
      <x:c r="B433" s="10" t="str">
        <x:v>glutathione S-transferase-like</x:v>
      </x:c>
      <x:c r="C433" s="19" t="str">
        <x:f>IF(COUNTIF('Colleague 115'!$A$2:$A$116,A433)&gt;0,"Yes","No")</x:f>
        <x:v>No</x:v>
      </x:c>
      <x:c r="D433" s="19" t="str">
        <x:f>IF(COUNTIF('Volcano 402'!$A$2:$A$403,A433)&gt;0,"Yes","No")</x:f>
        <x:v>Yes</x:v>
      </x:c>
      <x:c r="E433" s="19" t="str">
        <x:f>IF(COUNTIF('Heatmap 169'!$A$2:$A$170,A433)&gt;0,"Yes","No")</x:f>
        <x:v>No</x:v>
      </x:c>
      <x:c r="F433" s="19" t="n">
        <x:f>COUNTIF(C433:E433,"Yes")</x:f>
        <x:v>1</x:v>
      </x:c>
      <x:c r="G433" s="10" t="str">
        <x:f>IF(F433=3,"All three",IF(F433=2,IF(C433="No","Volcano + heatmap",IF(D433="No","Colleague + heatmap","Colleague + volcano")),IF(C433="Yes","Colleague only",IF(D433="Yes","Volcano only","Heatmap only"))))</x:f>
        <x:v>Volcano only</x:v>
      </x:c>
      <x:c r="H433" s="10" t="str"/>
      <x:c r="I433" s="10" t="str"/>
      <x:c r="J433" s="10" t="str">
        <x:v>Detoxification / stress</x:v>
      </x:c>
      <x:c r="K433" s="10" t="str">
        <x:v>infection_average_all_diets; infection_diet33</x:v>
      </x:c>
      <x:c r="L433" s="10" t="str"/>
      <x:c r="M433" s="10" t="str"/>
      <x:c r="N433" s="10" t="str"/>
    </x:row>
    <x:row r="434">
      <x:c r="A434" s="10" t="str">
        <x:v>LOC126336702</x:v>
      </x:c>
      <x:c r="B434" s="10" t="str">
        <x:v>caspase-1-like</x:v>
      </x:c>
      <x:c r="C434" s="19" t="str">
        <x:f>IF(COUNTIF('Colleague 115'!$A$2:$A$116,A434)&gt;0,"Yes","No")</x:f>
        <x:v>Yes</x:v>
      </x:c>
      <x:c r="D434" s="19" t="str">
        <x:f>IF(COUNTIF('Volcano 402'!$A$2:$A$403,A434)&gt;0,"Yes","No")</x:f>
        <x:v>No</x:v>
      </x:c>
      <x:c r="E434" s="19" t="str">
        <x:f>IF(COUNTIF('Heatmap 169'!$A$2:$A$170,A434)&gt;0,"Yes","No")</x:f>
        <x:v>No</x:v>
      </x:c>
      <x:c r="F434" s="19" t="n">
        <x:f>COUNTIF(C434:E434,"Yes")</x:f>
        <x:v>1</x:v>
      </x:c>
      <x:c r="G434" s="10" t="str">
        <x:f>IF(F434=3,"All three",IF(F434=2,IF(C434="No","Volcano + heatmap",IF(D434="No","Colleague + heatmap","Colleague + volcano")),IF(C434="Yes","Colleague only",IF(D434="Yes","Volcano only","Heatmap only"))))</x:f>
        <x:v>Colleague only</x:v>
      </x:c>
      <x:c r="H434" s="10" t="str">
        <x:v>Cellular Immunity</x:v>
      </x:c>
      <x:c r="I434" s="10" t="str">
        <x:v>Inflammasome Assembly &amp; Pyroptosis</x:v>
      </x:c>
      <x:c r="J434" s="10" t="str"/>
      <x:c r="K434" s="10" t="str"/>
      <x:c r="L434" s="10" t="str"/>
      <x:c r="M434" s="10" t="str"/>
      <x:c r="N434" s="10" t="str"/>
    </x:row>
    <x:row r="435">
      <x:c r="A435" s="10" t="str">
        <x:v>LOC126336713</x:v>
      </x:c>
      <x:c r="B435" s="10" t="str">
        <x:v>glutathione S-transferase 1-like</x:v>
      </x:c>
      <x:c r="C435" s="19" t="str">
        <x:f>IF(COUNTIF('Colleague 115'!$A$2:$A$116,A435)&gt;0,"Yes","No")</x:f>
        <x:v>No</x:v>
      </x:c>
      <x:c r="D435" s="19" t="str">
        <x:f>IF(COUNTIF('Volcano 402'!$A$2:$A$403,A435)&gt;0,"Yes","No")</x:f>
        <x:v>Yes</x:v>
      </x:c>
      <x:c r="E435" s="19" t="str">
        <x:f>IF(COUNTIF('Heatmap 169'!$A$2:$A$170,A435)&gt;0,"Yes","No")</x:f>
        <x:v>Yes</x:v>
      </x:c>
      <x:c r="F435" s="19" t="n">
        <x:f>COUNTIF(C435:E435,"Yes")</x:f>
        <x:v>2</x:v>
      </x:c>
      <x:c r="G435" s="10" t="str">
        <x:f>IF(F435=3,"All three",IF(F435=2,IF(C435="No","Volcano + heatmap",IF(D435="No","Colleague + heatmap","Colleague + volcano")),IF(C435="Yes","Colleague only",IF(D435="Yes","Volcano only","Heatmap only"))))</x:f>
        <x:v>Volcano + heatmap</x:v>
      </x:c>
      <x:c r="H435" s="10" t="str"/>
      <x:c r="I435" s="10" t="str"/>
      <x:c r="J435" s="10" t="str">
        <x:v>Detoxification / stress</x:v>
      </x:c>
      <x:c r="K435" s="10" t="str">
        <x:v>infection_average_all_diets</x:v>
      </x:c>
      <x:c r="L435" s="10" t="str">
        <x:v>Functional candidate</x:v>
      </x:c>
      <x:c r="M435" s="10" t="str">
        <x:v>Detoxification/stress</x:v>
      </x:c>
      <x:c r="N435" s="10" t="str">
        <x:v>Not DEG</x:v>
      </x:c>
    </x:row>
    <x:row r="436">
      <x:c r="A436" s="10" t="str">
        <x:v>LOC126336715</x:v>
      </x:c>
      <x:c r="B436" s="10" t="str">
        <x:v>Glutathione S-transferase, N-terminal domain</x:v>
      </x:c>
      <x:c r="C436" s="19" t="str">
        <x:f>IF(COUNTIF('Colleague 115'!$A$2:$A$116,A436)&gt;0,"Yes","No")</x:f>
        <x:v>No</x:v>
      </x:c>
      <x:c r="D436" s="19" t="str">
        <x:f>IF(COUNTIF('Volcano 402'!$A$2:$A$403,A436)&gt;0,"Yes","No")</x:f>
        <x:v>No</x:v>
      </x:c>
      <x:c r="E436" s="19" t="str">
        <x:f>IF(COUNTIF('Heatmap 169'!$A$2:$A$170,A436)&gt;0,"Yes","No")</x:f>
        <x:v>Yes</x:v>
      </x:c>
      <x:c r="F436" s="19" t="n">
        <x:f>COUNTIF(C436:E436,"Yes")</x:f>
        <x:v>1</x:v>
      </x:c>
      <x:c r="G436" s="10" t="str">
        <x:f>IF(F436=3,"All three",IF(F436=2,IF(C436="No","Volcano + heatmap",IF(D436="No","Colleague + heatmap","Colleague + volcano")),IF(C436="Yes","Colleague only",IF(D436="Yes","Volcano only","Heatmap only"))))</x:f>
        <x:v>Heatmap only</x:v>
      </x:c>
      <x:c r="H436" s="10" t="str"/>
      <x:c r="I436" s="10" t="str"/>
      <x:c r="J436" s="10" t="str"/>
      <x:c r="K436" s="10" t="str"/>
      <x:c r="L436" s="10" t="str">
        <x:v>Functional candidate</x:v>
      </x:c>
      <x:c r="M436" s="10" t="str">
        <x:v>Detoxification/stress</x:v>
      </x:c>
      <x:c r="N436" s="10" t="str">
        <x:v>Not DEG</x:v>
      </x:c>
    </x:row>
    <x:row r="437">
      <x:c r="A437" s="10" t="str">
        <x:v>LOC126336722</x:v>
      </x:c>
      <x:c r="B437" s="10" t="str">
        <x:v>glutathione S-transferase 1-1-like</x:v>
      </x:c>
      <x:c r="C437" s="19" t="str">
        <x:f>IF(COUNTIF('Colleague 115'!$A$2:$A$116,A437)&gt;0,"Yes","No")</x:f>
        <x:v>No</x:v>
      </x:c>
      <x:c r="D437" s="19" t="str">
        <x:f>IF(COUNTIF('Volcano 402'!$A$2:$A$403,A437)&gt;0,"Yes","No")</x:f>
        <x:v>Yes</x:v>
      </x:c>
      <x:c r="E437" s="19" t="str">
        <x:f>IF(COUNTIF('Heatmap 169'!$A$2:$A$170,A437)&gt;0,"Yes","No")</x:f>
        <x:v>No</x:v>
      </x:c>
      <x:c r="F437" s="19" t="n">
        <x:f>COUNTIF(C437:E437,"Yes")</x:f>
        <x:v>1</x:v>
      </x:c>
      <x:c r="G437" s="10" t="str">
        <x:f>IF(F437=3,"All three",IF(F437=2,IF(C437="No","Volcano + heatmap",IF(D437="No","Colleague + heatmap","Colleague + volcano")),IF(C437="Yes","Colleague only",IF(D437="Yes","Volcano only","Heatmap only"))))</x:f>
        <x:v>Volcano only</x:v>
      </x:c>
      <x:c r="H437" s="10" t="str"/>
      <x:c r="I437" s="10" t="str"/>
      <x:c r="J437" s="10" t="str">
        <x:v>Detoxification / stress</x:v>
      </x:c>
      <x:c r="K437" s="10" t="str">
        <x:v>infection_average_all_diets; infection_diet50</x:v>
      </x:c>
      <x:c r="L437" s="10" t="str"/>
      <x:c r="M437" s="10" t="str"/>
      <x:c r="N437" s="10" t="str"/>
    </x:row>
    <x:row r="438">
      <x:c r="A438" s="10" t="str">
        <x:v>LOC126336724</x:v>
      </x:c>
      <x:c r="B438" s="10" t="str">
        <x:v>Glutathione S-transferase, C-terminal domain</x:v>
      </x:c>
      <x:c r="C438" s="19" t="str">
        <x:f>IF(COUNTIF('Colleague 115'!$A$2:$A$116,A438)&gt;0,"Yes","No")</x:f>
        <x:v>No</x:v>
      </x:c>
      <x:c r="D438" s="19" t="str">
        <x:f>IF(COUNTIF('Volcano 402'!$A$2:$A$403,A438)&gt;0,"Yes","No")</x:f>
        <x:v>No</x:v>
      </x:c>
      <x:c r="E438" s="19" t="str">
        <x:f>IF(COUNTIF('Heatmap 169'!$A$2:$A$170,A438)&gt;0,"Yes","No")</x:f>
        <x:v>Yes</x:v>
      </x:c>
      <x:c r="F438" s="19" t="n">
        <x:f>COUNTIF(C438:E438,"Yes")</x:f>
        <x:v>1</x:v>
      </x:c>
      <x:c r="G438" s="10" t="str">
        <x:f>IF(F438=3,"All three",IF(F438=2,IF(C438="No","Volcano + heatmap",IF(D438="No","Colleague + heatmap","Colleague + volcano")),IF(C438="Yes","Colleague only",IF(D438="Yes","Volcano only","Heatmap only"))))</x:f>
        <x:v>Heatmap only</x:v>
      </x:c>
      <x:c r="H438" s="10" t="str"/>
      <x:c r="I438" s="10" t="str"/>
      <x:c r="J438" s="10" t="str"/>
      <x:c r="K438" s="10" t="str"/>
      <x:c r="L438" s="10" t="str">
        <x:v>Functional candidate</x:v>
      </x:c>
      <x:c r="M438" s="10" t="str">
        <x:v>Detoxification/stress</x:v>
      </x:c>
      <x:c r="N438" s="10" t="str">
        <x:v>Not DEG</x:v>
      </x:c>
    </x:row>
    <x:row r="439">
      <x:c r="A439" s="10" t="str">
        <x:v>LOC126336726</x:v>
      </x:c>
      <x:c r="B439" s="10" t="str">
        <x:v>glutathione s-transferase</x:v>
      </x:c>
      <x:c r="C439" s="19" t="str">
        <x:f>IF(COUNTIF('Colleague 115'!$A$2:$A$116,A439)&gt;0,"Yes","No")</x:f>
        <x:v>No</x:v>
      </x:c>
      <x:c r="D439" s="19" t="str">
        <x:f>IF(COUNTIF('Volcano 402'!$A$2:$A$403,A439)&gt;0,"Yes","No")</x:f>
        <x:v>No</x:v>
      </x:c>
      <x:c r="E439" s="19" t="str">
        <x:f>IF(COUNTIF('Heatmap 169'!$A$2:$A$170,A439)&gt;0,"Yes","No")</x:f>
        <x:v>Yes</x:v>
      </x:c>
      <x:c r="F439" s="19" t="n">
        <x:f>COUNTIF(C439:E439,"Yes")</x:f>
        <x:v>1</x:v>
      </x:c>
      <x:c r="G439" s="10" t="str">
        <x:f>IF(F439=3,"All three",IF(F439=2,IF(C439="No","Volcano + heatmap",IF(D439="No","Colleague + heatmap","Colleague + volcano")),IF(C439="Yes","Colleague only",IF(D439="Yes","Volcano only","Heatmap only"))))</x:f>
        <x:v>Heatmap only</x:v>
      </x:c>
      <x:c r="H439" s="10" t="str"/>
      <x:c r="I439" s="10" t="str"/>
      <x:c r="J439" s="10" t="str"/>
      <x:c r="K439" s="10" t="str"/>
      <x:c r="L439" s="10" t="str">
        <x:v>Functional candidate</x:v>
      </x:c>
      <x:c r="M439" s="10" t="str">
        <x:v>Detoxification/stress</x:v>
      </x:c>
      <x:c r="N439" s="10" t="str">
        <x:v>Not DEG</x:v>
      </x:c>
    </x:row>
    <x:row r="440">
      <x:c r="A440" s="10" t="str">
        <x:v>LOC126336730</x:v>
      </x:c>
      <x:c r="B440" s="10" t="str">
        <x:v>glutathione S-transferase-like</x:v>
      </x:c>
      <x:c r="C440" s="19" t="str">
        <x:f>IF(COUNTIF('Colleague 115'!$A$2:$A$116,A440)&gt;0,"Yes","No")</x:f>
        <x:v>No</x:v>
      </x:c>
      <x:c r="D440" s="19" t="str">
        <x:f>IF(COUNTIF('Volcano 402'!$A$2:$A$403,A440)&gt;0,"Yes","No")</x:f>
        <x:v>Yes</x:v>
      </x:c>
      <x:c r="E440" s="19" t="str">
        <x:f>IF(COUNTIF('Heatmap 169'!$A$2:$A$170,A440)&gt;0,"Yes","No")</x:f>
        <x:v>Yes</x:v>
      </x:c>
      <x:c r="F440" s="19" t="n">
        <x:f>COUNTIF(C440:E440,"Yes")</x:f>
        <x:v>2</x:v>
      </x:c>
      <x:c r="G440" s="10" t="str">
        <x:f>IF(F440=3,"All three",IF(F440=2,IF(C440="No","Volcano + heatmap",IF(D440="No","Colleague + heatmap","Colleague + volcano")),IF(C440="Yes","Colleague only",IF(D440="Yes","Volcano only","Heatmap only"))))</x:f>
        <x:v>Volcano + heatmap</x:v>
      </x:c>
      <x:c r="H440" s="10" t="str"/>
      <x:c r="I440" s="10" t="str"/>
      <x:c r="J440" s="10" t="str">
        <x:v>Detoxification / stress</x:v>
      </x:c>
      <x:c r="K440" s="10" t="str">
        <x:v>infection_average_all_diets; infection_diet33; infection_diet50</x:v>
      </x:c>
      <x:c r="L440" s="10" t="str">
        <x:v>Functional candidate</x:v>
      </x:c>
      <x:c r="M440" s="10" t="str">
        <x:v>Detoxification/stress</x:v>
      </x:c>
      <x:c r="N440" s="10" t="str">
        <x:v>DEG</x:v>
      </x:c>
    </x:row>
    <x:row r="441">
      <x:c r="A441" s="10" t="str">
        <x:v>LOC126336735</x:v>
      </x:c>
      <x:c r="B441" s="10" t="str">
        <x:v>glutathione S-transferase 1-1-like</x:v>
      </x:c>
      <x:c r="C441" s="19" t="str">
        <x:f>IF(COUNTIF('Colleague 115'!$A$2:$A$116,A441)&gt;0,"Yes","No")</x:f>
        <x:v>No</x:v>
      </x:c>
      <x:c r="D441" s="19" t="str">
        <x:f>IF(COUNTIF('Volcano 402'!$A$2:$A$403,A441)&gt;0,"Yes","No")</x:f>
        <x:v>Yes</x:v>
      </x:c>
      <x:c r="E441" s="19" t="str">
        <x:f>IF(COUNTIF('Heatmap 169'!$A$2:$A$170,A441)&gt;0,"Yes","No")</x:f>
        <x:v>Yes</x:v>
      </x:c>
      <x:c r="F441" s="19" t="n">
        <x:f>COUNTIF(C441:E441,"Yes")</x:f>
        <x:v>2</x:v>
      </x:c>
      <x:c r="G441" s="10" t="str">
        <x:f>IF(F441=3,"All three",IF(F441=2,IF(C441="No","Volcano + heatmap",IF(D441="No","Colleague + heatmap","Colleague + volcano")),IF(C441="Yes","Colleague only",IF(D441="Yes","Volcano only","Heatmap only"))))</x:f>
        <x:v>Volcano + heatmap</x:v>
      </x:c>
      <x:c r="H441" s="10" t="str"/>
      <x:c r="I441" s="10" t="str"/>
      <x:c r="J441" s="10" t="str">
        <x:v>Detoxification / stress</x:v>
      </x:c>
      <x:c r="K441" s="10" t="str">
        <x:v>infection_average_all_diets; infection_diet33; infection_diet50</x:v>
      </x:c>
      <x:c r="L441" s="10" t="str">
        <x:v>Functional candidate</x:v>
      </x:c>
      <x:c r="M441" s="10" t="str">
        <x:v>Detoxification/stress</x:v>
      </x:c>
      <x:c r="N441" s="10" t="str">
        <x:v>DEG</x:v>
      </x:c>
    </x:row>
    <x:row r="442">
      <x:c r="A442" s="10" t="str">
        <x:v>LOC126336738</x:v>
      </x:c>
      <x:c r="B442" s="10" t="str">
        <x:v>hemolymph lipopolysaccharide-binding protein-like</x:v>
      </x:c>
      <x:c r="C442" s="19" t="str">
        <x:f>IF(COUNTIF('Colleague 115'!$A$2:$A$116,A442)&gt;0,"Yes","No")</x:f>
        <x:v>No</x:v>
      </x:c>
      <x:c r="D442" s="19" t="str">
        <x:f>IF(COUNTIF('Volcano 402'!$A$2:$A$403,A442)&gt;0,"Yes","No")</x:f>
        <x:v>Yes</x:v>
      </x:c>
      <x:c r="E442" s="19" t="str">
        <x:f>IF(COUNTIF('Heatmap 169'!$A$2:$A$170,A442)&gt;0,"Yes","No")</x:f>
        <x:v>No</x:v>
      </x:c>
      <x:c r="F442" s="19" t="n">
        <x:f>COUNTIF(C442:E442,"Yes")</x:f>
        <x:v>1</x:v>
      </x:c>
      <x:c r="G442" s="10" t="str">
        <x:f>IF(F442=3,"All three",IF(F442=2,IF(C442="No","Volcano + heatmap",IF(D442="No","Colleague + heatmap","Colleague + volcano")),IF(C442="Yes","Colleague only",IF(D442="Yes","Volcano only","Heatmap only"))))</x:f>
        <x:v>Volcano only</x:v>
      </x:c>
      <x:c r="H442" s="10" t="str"/>
      <x:c r="I442" s="10" t="str"/>
      <x:c r="J442" s="10" t="str">
        <x:v>Immune-related</x:v>
      </x:c>
      <x:c r="K442" s="10" t="str">
        <x:v>infection_average_all_diets; infection_diet33; infection_diet50; infection_diet83</x:v>
      </x:c>
      <x:c r="L442" s="10" t="str"/>
      <x:c r="M442" s="10" t="str"/>
      <x:c r="N442" s="10" t="str"/>
    </x:row>
    <x:row r="443">
      <x:c r="A443" s="10" t="str">
        <x:v>LOC126336742</x:v>
      </x:c>
      <x:c r="B443" s="10" t="str">
        <x:v>uncharacterized LOC126336742</x:v>
      </x:c>
      <x:c r="C443" s="19" t="str">
        <x:f>IF(COUNTIF('Colleague 115'!$A$2:$A$116,A443)&gt;0,"Yes","No")</x:f>
        <x:v>No</x:v>
      </x:c>
      <x:c r="D443" s="19" t="str">
        <x:f>IF(COUNTIF('Volcano 402'!$A$2:$A$403,A443)&gt;0,"Yes","No")</x:f>
        <x:v>Yes</x:v>
      </x:c>
      <x:c r="E443" s="19" t="str">
        <x:f>IF(COUNTIF('Heatmap 169'!$A$2:$A$170,A443)&gt;0,"Yes","No")</x:f>
        <x:v>No</x:v>
      </x:c>
      <x:c r="F443" s="19" t="n">
        <x:f>COUNTIF(C443:E443,"Yes")</x:f>
        <x:v>1</x:v>
      </x:c>
      <x:c r="G443" s="10" t="str">
        <x:f>IF(F443=3,"All three",IF(F443=2,IF(C443="No","Volcano + heatmap",IF(D443="No","Colleague + heatmap","Colleague + volcano")),IF(C443="Yes","Colleague only",IF(D443="Yes","Volcano only","Heatmap only"))))</x:f>
        <x:v>Volcano only</x:v>
      </x:c>
      <x:c r="H443" s="10" t="str"/>
      <x:c r="I443" s="10" t="str"/>
      <x:c r="J443" s="10" t="str">
        <x:v>Protein synthesis / storage</x:v>
      </x:c>
      <x:c r="K443" s="10" t="str">
        <x:v>infected_diet33_vs50; infection_diet50</x:v>
      </x:c>
      <x:c r="L443" s="10" t="str"/>
      <x:c r="M443" s="10" t="str"/>
      <x:c r="N443" s="10" t="str"/>
    </x:row>
    <x:row r="444">
      <x:c r="A444" s="10" t="str">
        <x:v>LOC126336762</x:v>
      </x:c>
      <x:c r="B444" s="10" t="str">
        <x:v>Microsomal triglyceride transfer protein</x:v>
      </x:c>
      <x:c r="C444" s="19" t="str">
        <x:f>IF(COUNTIF('Colleague 115'!$A$2:$A$116,A444)&gt;0,"Yes","No")</x:f>
        <x:v>No</x:v>
      </x:c>
      <x:c r="D444" s="19" t="str">
        <x:f>IF(COUNTIF('Volcano 402'!$A$2:$A$403,A444)&gt;0,"Yes","No")</x:f>
        <x:v>No</x:v>
      </x:c>
      <x:c r="E444" s="19" t="str">
        <x:f>IF(COUNTIF('Heatmap 169'!$A$2:$A$170,A444)&gt;0,"Yes","No")</x:f>
        <x:v>Yes</x:v>
      </x:c>
      <x:c r="F444" s="19" t="n">
        <x:f>COUNTIF(C444:E444,"Yes")</x:f>
        <x:v>1</x:v>
      </x:c>
      <x:c r="G444" s="10" t="str">
        <x:f>IF(F444=3,"All three",IF(F444=2,IF(C444="No","Volcano + heatmap",IF(D444="No","Colleague + heatmap","Colleague + volcano")),IF(C444="Yes","Colleague only",IF(D444="Yes","Volcano only","Heatmap only"))))</x:f>
        <x:v>Heatmap only</x:v>
      </x:c>
      <x:c r="H444" s="10" t="str"/>
      <x:c r="I444" s="10" t="str"/>
      <x:c r="J444" s="10" t="str"/>
      <x:c r="K444" s="10" t="str"/>
      <x:c r="L444" s="10" t="str">
        <x:v>Functional candidate</x:v>
      </x:c>
      <x:c r="M444" s="10" t="str">
        <x:v>Storage/lipid transport</x:v>
      </x:c>
      <x:c r="N444" s="10" t="str">
        <x:v>Not DEG</x:v>
      </x:c>
    </x:row>
    <x:row r="445">
      <x:c r="A445" s="10" t="str">
        <x:v>LOC126336773</x:v>
      </x:c>
      <x:c r="B445" s="10" t="str">
        <x:v>uncharacterized LOC126336773</x:v>
      </x:c>
      <x:c r="C445" s="19" t="str">
        <x:f>IF(COUNTIF('Colleague 115'!$A$2:$A$116,A445)&gt;0,"Yes","No")</x:f>
        <x:v>No</x:v>
      </x:c>
      <x:c r="D445" s="19" t="str">
        <x:f>IF(COUNTIF('Volcano 402'!$A$2:$A$403,A445)&gt;0,"Yes","No")</x:f>
        <x:v>Yes</x:v>
      </x:c>
      <x:c r="E445" s="19" t="str">
        <x:f>IF(COUNTIF('Heatmap 169'!$A$2:$A$170,A445)&gt;0,"Yes","No")</x:f>
        <x:v>No</x:v>
      </x:c>
      <x:c r="F445" s="19" t="n">
        <x:f>COUNTIF(C445:E445,"Yes")</x:f>
        <x:v>1</x:v>
      </x:c>
      <x:c r="G445" s="10" t="str">
        <x:f>IF(F445=3,"All three",IF(F445=2,IF(C445="No","Volcano + heatmap",IF(D445="No","Colleague + heatmap","Colleague + volcano")),IF(C445="Yes","Colleague only",IF(D445="Yes","Volcano only","Heatmap only"))))</x:f>
        <x:v>Volcano only</x:v>
      </x:c>
      <x:c r="H445" s="10" t="str"/>
      <x:c r="I445" s="10" t="str"/>
      <x:c r="J445" s="10" t="str">
        <x:v>Lipid synthesis / metabolism</x:v>
      </x:c>
      <x:c r="K445" s="10" t="str">
        <x:v>infection_diet50</x:v>
      </x:c>
      <x:c r="L445" s="10" t="str"/>
      <x:c r="M445" s="10" t="str"/>
      <x:c r="N445" s="10" t="str"/>
    </x:row>
    <x:row r="446">
      <x:c r="A446" s="10" t="str">
        <x:v>LOC126336833</x:v>
      </x:c>
      <x:c r="B446" s="10" t="str">
        <x:v>translation initiation factor IF-2-like</x:v>
      </x:c>
      <x:c r="C446" s="19" t="str">
        <x:f>IF(COUNTIF('Colleague 115'!$A$2:$A$116,A446)&gt;0,"Yes","No")</x:f>
        <x:v>Yes</x:v>
      </x:c>
      <x:c r="D446" s="19" t="str">
        <x:f>IF(COUNTIF('Volcano 402'!$A$2:$A$403,A446)&gt;0,"Yes","No")</x:f>
        <x:v>Yes</x:v>
      </x:c>
      <x:c r="E446" s="19" t="str">
        <x:f>IF(COUNTIF('Heatmap 169'!$A$2:$A$170,A446)&gt;0,"Yes","No")</x:f>
        <x:v>No</x:v>
      </x:c>
      <x:c r="F446" s="19" t="n">
        <x:f>COUNTIF(C446:E446,"Yes")</x:f>
        <x:v>2</x:v>
      </x:c>
      <x:c r="G446" s="10" t="str">
        <x:f>IF(F446=3,"All three",IF(F446=2,IF(C446="No","Volcano + heatmap",IF(D446="No","Colleague + heatmap","Colleague + volcano")),IF(C446="Yes","Colleague only",IF(D446="Yes","Volcano only","Heatmap only"))))</x:f>
        <x:v>Colleague + volcano</x:v>
      </x:c>
      <x:c r="H446" s="10" t="str">
        <x:v>Protein Synthesis &amp; Translation</x:v>
      </x:c>
      <x:c r="I446" s="10" t="str">
        <x:v>Translation Initiation &amp; Elongation Factors</x:v>
      </x:c>
      <x:c r="J446" s="10" t="str">
        <x:v>Protein synthesis / storage</x:v>
      </x:c>
      <x:c r="K446" s="10" t="str">
        <x:v>infection_average_all_diets; infection_diet33</x:v>
      </x:c>
      <x:c r="L446" s="10" t="str"/>
      <x:c r="M446" s="10" t="str"/>
      <x:c r="N446" s="10" t="str"/>
    </x:row>
    <x:row r="447">
      <x:c r="A447" s="10" t="str">
        <x:v>LOC126336866</x:v>
      </x:c>
      <x:c r="B447" s="10" t="str">
        <x:v>Malic enzyme, NAD binding domain</x:v>
      </x:c>
      <x:c r="C447" s="19" t="str">
        <x:f>IF(COUNTIF('Colleague 115'!$A$2:$A$116,A447)&gt;0,"Yes","No")</x:f>
        <x:v>No</x:v>
      </x:c>
      <x:c r="D447" s="19" t="str">
        <x:f>IF(COUNTIF('Volcano 402'!$A$2:$A$403,A447)&gt;0,"Yes","No")</x:f>
        <x:v>No</x:v>
      </x:c>
      <x:c r="E447" s="19" t="str">
        <x:f>IF(COUNTIF('Heatmap 169'!$A$2:$A$170,A447)&gt;0,"Yes","No")</x:f>
        <x:v>Yes</x:v>
      </x:c>
      <x:c r="F447" s="19" t="n">
        <x:f>COUNTIF(C447:E447,"Yes")</x:f>
        <x:v>1</x:v>
      </x:c>
      <x:c r="G447" s="10" t="str">
        <x:f>IF(F447=3,"All three",IF(F447=2,IF(C447="No","Volcano + heatmap",IF(D447="No","Colleague + heatmap","Colleague + volcano")),IF(C447="Yes","Colleague only",IF(D447="Yes","Volcano only","Heatmap only"))))</x:f>
        <x:v>Heatmap only</x:v>
      </x:c>
      <x:c r="H447" s="10" t="str"/>
      <x:c r="I447" s="10" t="str"/>
      <x:c r="J447" s="10" t="str"/>
      <x:c r="K447" s="10" t="str"/>
      <x:c r="L447" s="10" t="str">
        <x:v>Top DEG</x:v>
      </x:c>
      <x:c r="M447" s="10" t="str">
        <x:v>Other strong DEG</x:v>
      </x:c>
      <x:c r="N447" s="10" t="str">
        <x:v>DEG</x:v>
      </x:c>
    </x:row>
    <x:row r="448">
      <x:c r="A448" s="10" t="str">
        <x:v>LOC126336888</x:v>
      </x:c>
      <x:c r="B448" s="10" t="str">
        <x:v>glutathione S-transferase 1-1-like</x:v>
      </x:c>
      <x:c r="C448" s="19" t="str">
        <x:f>IF(COUNTIF('Colleague 115'!$A$2:$A$116,A448)&gt;0,"Yes","No")</x:f>
        <x:v>No</x:v>
      </x:c>
      <x:c r="D448" s="19" t="str">
        <x:f>IF(COUNTIF('Volcano 402'!$A$2:$A$403,A448)&gt;0,"Yes","No")</x:f>
        <x:v>Yes</x:v>
      </x:c>
      <x:c r="E448" s="19" t="str">
        <x:f>IF(COUNTIF('Heatmap 169'!$A$2:$A$170,A448)&gt;0,"Yes","No")</x:f>
        <x:v>Yes</x:v>
      </x:c>
      <x:c r="F448" s="19" t="n">
        <x:f>COUNTIF(C448:E448,"Yes")</x:f>
        <x:v>2</x:v>
      </x:c>
      <x:c r="G448" s="10" t="str">
        <x:f>IF(F448=3,"All three",IF(F448=2,IF(C448="No","Volcano + heatmap",IF(D448="No","Colleague + heatmap","Colleague + volcano")),IF(C448="Yes","Colleague only",IF(D448="Yes","Volcano only","Heatmap only"))))</x:f>
        <x:v>Volcano + heatmap</x:v>
      </x:c>
      <x:c r="H448" s="10" t="str"/>
      <x:c r="I448" s="10" t="str"/>
      <x:c r="J448" s="10" t="str">
        <x:v>Detoxification / stress</x:v>
      </x:c>
      <x:c r="K448" s="10" t="str">
        <x:v>infection_average_all_diets</x:v>
      </x:c>
      <x:c r="L448" s="10" t="str">
        <x:v>Functional candidate</x:v>
      </x:c>
      <x:c r="M448" s="10" t="str">
        <x:v>Detoxification/stress</x:v>
      </x:c>
      <x:c r="N448" s="10" t="str">
        <x:v>Not DEG</x:v>
      </x:c>
    </x:row>
    <x:row r="449">
      <x:c r="A449" s="10" t="str">
        <x:v>LOC126336923</x:v>
      </x:c>
      <x:c r="B449" s="10" t="str">
        <x:v>chitin binding. It is involved in the biological process described with chitin metabolic process</x:v>
      </x:c>
      <x:c r="C449" s="19" t="str">
        <x:f>IF(COUNTIF('Colleague 115'!$A$2:$A$116,A449)&gt;0,"Yes","No")</x:f>
        <x:v>No</x:v>
      </x:c>
      <x:c r="D449" s="19" t="str">
        <x:f>IF(COUNTIF('Volcano 402'!$A$2:$A$403,A449)&gt;0,"Yes","No")</x:f>
        <x:v>No</x:v>
      </x:c>
      <x:c r="E449" s="19" t="str">
        <x:f>IF(COUNTIF('Heatmap 169'!$A$2:$A$170,A449)&gt;0,"Yes","No")</x:f>
        <x:v>Yes</x:v>
      </x:c>
      <x:c r="F449" s="19" t="n">
        <x:f>COUNTIF(C449:E449,"Yes")</x:f>
        <x:v>1</x:v>
      </x:c>
      <x:c r="G449" s="10" t="str">
        <x:f>IF(F449=3,"All three",IF(F449=2,IF(C449="No","Volcano + heatmap",IF(D449="No","Colleague + heatmap","Colleague + volcano")),IF(C449="Yes","Colleague only",IF(D449="Yes","Volcano only","Heatmap only"))))</x:f>
        <x:v>Heatmap only</x:v>
      </x:c>
      <x:c r="H449" s="10" t="str"/>
      <x:c r="I449" s="10" t="str"/>
      <x:c r="J449" s="10" t="str"/>
      <x:c r="K449" s="10" t="str"/>
      <x:c r="L449" s="10" t="str">
        <x:v>Functional candidate</x:v>
      </x:c>
      <x:c r="M449" s="10" t="str">
        <x:v>Nutrition/metabolism</x:v>
      </x:c>
      <x:c r="N449" s="10" t="str">
        <x:v>Not DEG</x:v>
      </x:c>
    </x:row>
    <x:row r="450">
      <x:c r="A450" s="10" t="str">
        <x:v>LOC126336932</x:v>
      </x:c>
      <x:c r="B450" s="10" t="str">
        <x:v>lysophospholipid acyltransferase 6</x:v>
      </x:c>
      <x:c r="C450" s="19" t="str">
        <x:f>IF(COUNTIF('Colleague 115'!$A$2:$A$116,A450)&gt;0,"Yes","No")</x:f>
        <x:v>No</x:v>
      </x:c>
      <x:c r="D450" s="19" t="str">
        <x:f>IF(COUNTIF('Volcano 402'!$A$2:$A$403,A450)&gt;0,"Yes","No")</x:f>
        <x:v>Yes</x:v>
      </x:c>
      <x:c r="E450" s="19" t="str">
        <x:f>IF(COUNTIF('Heatmap 169'!$A$2:$A$170,A450)&gt;0,"Yes","No")</x:f>
        <x:v>No</x:v>
      </x:c>
      <x:c r="F450" s="19" t="n">
        <x:f>COUNTIF(C450:E450,"Yes")</x:f>
        <x:v>1</x:v>
      </x:c>
      <x:c r="G450" s="10" t="str">
        <x:f>IF(F450=3,"All three",IF(F450=2,IF(C450="No","Volcano + heatmap",IF(D450="No","Colleague + heatmap","Colleague + volcano")),IF(C450="Yes","Colleague only",IF(D450="Yes","Volcano only","Heatmap only"))))</x:f>
        <x:v>Volcano only</x:v>
      </x:c>
      <x:c r="H450" s="10" t="str"/>
      <x:c r="I450" s="10" t="str"/>
      <x:c r="J450" s="10" t="str">
        <x:v>Lipid synthesis / metabolism</x:v>
      </x:c>
      <x:c r="K450" s="10" t="str">
        <x:v>infection_diet33</x:v>
      </x:c>
      <x:c r="L450" s="10" t="str"/>
      <x:c r="M450" s="10" t="str"/>
      <x:c r="N450" s="10" t="str"/>
    </x:row>
    <x:row r="451">
      <x:c r="A451" s="10" t="str">
        <x:v>LOC126336969</x:v>
      </x:c>
      <x:c r="B451" s="10" t="str">
        <x:v>hemocyte protein-glutamine gamma-glutamyltransferase-like</x:v>
      </x:c>
      <x:c r="C451" s="19" t="str">
        <x:f>IF(COUNTIF('Colleague 115'!$A$2:$A$116,A451)&gt;0,"Yes","No")</x:f>
        <x:v>Yes</x:v>
      </x:c>
      <x:c r="D451" s="19" t="str">
        <x:f>IF(COUNTIF('Volcano 402'!$A$2:$A$403,A451)&gt;0,"Yes","No")</x:f>
        <x:v>No</x:v>
      </x:c>
      <x:c r="E451" s="19" t="str">
        <x:f>IF(COUNTIF('Heatmap 169'!$A$2:$A$170,A451)&gt;0,"Yes","No")</x:f>
        <x:v>No</x:v>
      </x:c>
      <x:c r="F451" s="19" t="n">
        <x:f>COUNTIF(C451:E451,"Yes")</x:f>
        <x:v>1</x:v>
      </x:c>
      <x:c r="G451" s="10" t="str">
        <x:f>IF(F451=3,"All three",IF(F451=2,IF(C451="No","Volcano + heatmap",IF(D451="No","Colleague + heatmap","Colleague + volcano")),IF(C451="Yes","Colleague only",IF(D451="Yes","Volcano only","Heatmap only"))))</x:f>
        <x:v>Colleague only</x:v>
      </x:c>
      <x:c r="H451" s="10" t="str">
        <x:v>Cellular Immunity</x:v>
      </x:c>
      <x:c r="I451" s="10" t="str">
        <x:v>Inflammasome Assembly &amp; Pyroptosis</x:v>
      </x:c>
      <x:c r="J451" s="10" t="str"/>
      <x:c r="K451" s="10" t="str"/>
      <x:c r="L451" s="10" t="str"/>
      <x:c r="M451" s="10" t="str"/>
      <x:c r="N451" s="10" t="str"/>
    </x:row>
    <x:row r="452">
      <x:c r="A452" s="10" t="str">
        <x:v>LOC126336990</x:v>
      </x:c>
      <x:c r="B452" s="10" t="str">
        <x:v>serine protease HTR4</x:v>
      </x:c>
      <x:c r="C452" s="19" t="str">
        <x:f>IF(COUNTIF('Colleague 115'!$A$2:$A$116,A452)&gt;0,"Yes","No")</x:f>
        <x:v>Yes</x:v>
      </x:c>
      <x:c r="D452" s="19" t="str">
        <x:f>IF(COUNTIF('Volcano 402'!$A$2:$A$403,A452)&gt;0,"Yes","No")</x:f>
        <x:v>No</x:v>
      </x:c>
      <x:c r="E452" s="19" t="str">
        <x:f>IF(COUNTIF('Heatmap 169'!$A$2:$A$170,A452)&gt;0,"Yes","No")</x:f>
        <x:v>No</x:v>
      </x:c>
      <x:c r="F452" s="19" t="n">
        <x:f>COUNTIF(C452:E452,"Yes")</x:f>
        <x:v>1</x:v>
      </x:c>
      <x:c r="G452" s="10" t="str">
        <x:f>IF(F452=3,"All three",IF(F452=2,IF(C452="No","Volcano + heatmap",IF(D452="No","Colleague + heatmap","Colleague + volcano")),IF(C452="Yes","Colleague only",IF(D452="Yes","Volcano only","Heatmap only"))))</x:f>
        <x:v>Colleague only</x:v>
      </x:c>
      <x:c r="H452" s="10" t="str">
        <x:v>Innate Immune Recognition &amp; Signaling</x:v>
      </x:c>
      <x:c r="I452" s="10" t="str">
        <x:v>Serine Protease Cascades</x:v>
      </x:c>
      <x:c r="J452" s="10" t="str"/>
      <x:c r="K452" s="10" t="str"/>
      <x:c r="L452" s="10" t="str"/>
      <x:c r="M452" s="10" t="str"/>
      <x:c r="N452" s="10" t="str"/>
    </x:row>
    <x:row r="453">
      <x:c r="A453" s="10" t="str">
        <x:v>LOC126337056</x:v>
      </x:c>
      <x:c r="B453" s="10" t="str">
        <x:v>Juvenile hormone binding protein domains in insects.</x:v>
      </x:c>
      <x:c r="C453" s="19" t="str">
        <x:f>IF(COUNTIF('Colleague 115'!$A$2:$A$116,A453)&gt;0,"Yes","No")</x:f>
        <x:v>No</x:v>
      </x:c>
      <x:c r="D453" s="19" t="str">
        <x:f>IF(COUNTIF('Volcano 402'!$A$2:$A$403,A453)&gt;0,"Yes","No")</x:f>
        <x:v>No</x:v>
      </x:c>
      <x:c r="E453" s="19" t="str">
        <x:f>IF(COUNTIF('Heatmap 169'!$A$2:$A$170,A453)&gt;0,"Yes","No")</x:f>
        <x:v>Yes</x:v>
      </x:c>
      <x:c r="F453" s="19" t="n">
        <x:f>COUNTIF(C453:E453,"Yes")</x:f>
        <x:v>1</x:v>
      </x:c>
      <x:c r="G453" s="10" t="str">
        <x:f>IF(F453=3,"All three",IF(F453=2,IF(C453="No","Volcano + heatmap",IF(D453="No","Colleague + heatmap","Colleague + volcano")),IF(C453="Yes","Colleague only",IF(D453="Yes","Volcano only","Heatmap only"))))</x:f>
        <x:v>Heatmap only</x:v>
      </x:c>
      <x:c r="H453" s="10" t="str"/>
      <x:c r="I453" s="10" t="str"/>
      <x:c r="J453" s="10" t="str"/>
      <x:c r="K453" s="10" t="str"/>
      <x:c r="L453" s="10" t="str">
        <x:v>Top DEG</x:v>
      </x:c>
      <x:c r="M453" s="10" t="str">
        <x:v>Other strong DEG</x:v>
      </x:c>
      <x:c r="N453" s="10" t="str">
        <x:v>DEG</x:v>
      </x:c>
    </x:row>
    <x:row r="454">
      <x:c r="A454" s="10" t="str">
        <x:v>LOC126337753</x:v>
      </x:c>
      <x:c r="B454" s="10" t="str">
        <x:v>NPC intracellular cholesterol transporter 2 homolog a</x:v>
      </x:c>
      <x:c r="C454" s="19" t="str">
        <x:f>IF(COUNTIF('Colleague 115'!$A$2:$A$116,A454)&gt;0,"Yes","No")</x:f>
        <x:v>No</x:v>
      </x:c>
      <x:c r="D454" s="19" t="str">
        <x:f>IF(COUNTIF('Volcano 402'!$A$2:$A$403,A454)&gt;0,"Yes","No")</x:f>
        <x:v>Yes</x:v>
      </x:c>
      <x:c r="E454" s="19" t="str">
        <x:f>IF(COUNTIF('Heatmap 169'!$A$2:$A$170,A454)&gt;0,"Yes","No")</x:f>
        <x:v>No</x:v>
      </x:c>
      <x:c r="F454" s="19" t="n">
        <x:f>COUNTIF(C454:E454,"Yes")</x:f>
        <x:v>1</x:v>
      </x:c>
      <x:c r="G454" s="10" t="str">
        <x:f>IF(F454=3,"All three",IF(F454=2,IF(C454="No","Volcano + heatmap",IF(D454="No","Colleague + heatmap","Colleague + volcano")),IF(C454="Yes","Colleague only",IF(D454="Yes","Volcano only","Heatmap only"))))</x:f>
        <x:v>Volcano only</x:v>
      </x:c>
      <x:c r="H454" s="10" t="str"/>
      <x:c r="I454" s="10" t="str"/>
      <x:c r="J454" s="10" t="str">
        <x:v>Lipid synthesis / metabolism</x:v>
      </x:c>
      <x:c r="K454" s="10" t="str">
        <x:v>infection_diet33</x:v>
      </x:c>
      <x:c r="L454" s="10" t="str"/>
      <x:c r="M454" s="10" t="str"/>
      <x:c r="N454" s="10" t="str"/>
    </x:row>
    <x:row r="455">
      <x:c r="A455" s="10" t="str">
        <x:v>LOC126337850</x:v>
      </x:c>
      <x:c r="B455" s="10" t="str">
        <x:v>uncharacterized LOC126337850</x:v>
      </x:c>
      <x:c r="C455" s="19" t="str">
        <x:f>IF(COUNTIF('Colleague 115'!$A$2:$A$116,A455)&gt;0,"Yes","No")</x:f>
        <x:v>No</x:v>
      </x:c>
      <x:c r="D455" s="19" t="str">
        <x:f>IF(COUNTIF('Volcano 402'!$A$2:$A$403,A455)&gt;0,"Yes","No")</x:f>
        <x:v>Yes</x:v>
      </x:c>
      <x:c r="E455" s="19" t="str">
        <x:f>IF(COUNTIF('Heatmap 169'!$A$2:$A$170,A455)&gt;0,"Yes","No")</x:f>
        <x:v>No</x:v>
      </x:c>
      <x:c r="F455" s="19" t="n">
        <x:f>COUNTIF(C455:E455,"Yes")</x:f>
        <x:v>1</x:v>
      </x:c>
      <x:c r="G455" s="10" t="str">
        <x:f>IF(F455=3,"All three",IF(F455=2,IF(C455="No","Volcano + heatmap",IF(D455="No","Colleague + heatmap","Colleague + volcano")),IF(C455="Yes","Colleague only",IF(D455="Yes","Volcano only","Heatmap only"))))</x:f>
        <x:v>Volcano only</x:v>
      </x:c>
      <x:c r="H455" s="10" t="str"/>
      <x:c r="I455" s="10" t="str"/>
      <x:c r="J455" s="10" t="str">
        <x:v>Detoxification / stress</x:v>
      </x:c>
      <x:c r="K455" s="10" t="str">
        <x:v>infection_average_all_diets; infection_diet33; infection_diet50; infection_diet83</x:v>
      </x:c>
      <x:c r="L455" s="10" t="str"/>
      <x:c r="M455" s="10" t="str"/>
      <x:c r="N455" s="10" t="str"/>
    </x:row>
    <x:row r="456">
      <x:c r="A456" s="10" t="str">
        <x:v>LOC126339798</x:v>
      </x:c>
      <x:c r="B456" s="10" t="str">
        <x:v>uncharacterized LOC126339798</x:v>
      </x:c>
      <x:c r="C456" s="19" t="str">
        <x:f>IF(COUNTIF('Colleague 115'!$A$2:$A$116,A456)&gt;0,"Yes","No")</x:f>
        <x:v>No</x:v>
      </x:c>
      <x:c r="D456" s="19" t="str">
        <x:f>IF(COUNTIF('Volcano 402'!$A$2:$A$403,A456)&gt;0,"Yes","No")</x:f>
        <x:v>Yes</x:v>
      </x:c>
      <x:c r="E456" s="19" t="str">
        <x:f>IF(COUNTIF('Heatmap 169'!$A$2:$A$170,A456)&gt;0,"Yes","No")</x:f>
        <x:v>No</x:v>
      </x:c>
      <x:c r="F456" s="19" t="n">
        <x:f>COUNTIF(C456:E456,"Yes")</x:f>
        <x:v>1</x:v>
      </x:c>
      <x:c r="G456" s="10" t="str">
        <x:f>IF(F456=3,"All three",IF(F456=2,IF(C456="No","Volcano + heatmap",IF(D456="No","Colleague + heatmap","Colleague + volcano")),IF(C456="Yes","Colleague only",IF(D456="Yes","Volcano only","Heatmap only"))))</x:f>
        <x:v>Volcano only</x:v>
      </x:c>
      <x:c r="H456" s="10" t="str"/>
      <x:c r="I456" s="10" t="str"/>
      <x:c r="J456" s="10" t="str">
        <x:v>Detoxification / stress</x:v>
      </x:c>
      <x:c r="K456" s="10" t="str">
        <x:v>infection_diet33</x:v>
      </x:c>
      <x:c r="L456" s="10" t="str"/>
      <x:c r="M456" s="10" t="str"/>
      <x:c r="N456" s="10" t="str"/>
    </x:row>
    <x:row r="457">
      <x:c r="A457" s="10" t="str">
        <x:v>LOC126342556</x:v>
      </x:c>
      <x:c r="B457" s="10" t="str">
        <x:v>diacylglycerol lipase-beta-like</x:v>
      </x:c>
      <x:c r="C457" s="19" t="str">
        <x:f>IF(COUNTIF('Colleague 115'!$A$2:$A$116,A457)&gt;0,"Yes","No")</x:f>
        <x:v>No</x:v>
      </x:c>
      <x:c r="D457" s="19" t="str">
        <x:f>IF(COUNTIF('Volcano 402'!$A$2:$A$403,A457)&gt;0,"Yes","No")</x:f>
        <x:v>Yes</x:v>
      </x:c>
      <x:c r="E457" s="19" t="str">
        <x:f>IF(COUNTIF('Heatmap 169'!$A$2:$A$170,A457)&gt;0,"Yes","No")</x:f>
        <x:v>No</x:v>
      </x:c>
      <x:c r="F457" s="19" t="n">
        <x:f>COUNTIF(C457:E457,"Yes")</x:f>
        <x:v>1</x:v>
      </x:c>
      <x:c r="G457" s="10" t="str">
        <x:f>IF(F457=3,"All three",IF(F457=2,IF(C457="No","Volcano + heatmap",IF(D457="No","Colleague + heatmap","Colleague + volcano")),IF(C457="Yes","Colleague only",IF(D457="Yes","Volcano only","Heatmap only"))))</x:f>
        <x:v>Volcano only</x:v>
      </x:c>
      <x:c r="H457" s="10" t="str"/>
      <x:c r="I457" s="10" t="str"/>
      <x:c r="J457" s="10" t="str">
        <x:v>Lipid synthesis / metabolism</x:v>
      </x:c>
      <x:c r="K457" s="10" t="str">
        <x:v>infection_average_all_diets; infection_diet33; infection_diet83</x:v>
      </x:c>
      <x:c r="L457" s="10" t="str"/>
      <x:c r="M457" s="10" t="str"/>
      <x:c r="N457" s="10" t="str"/>
    </x:row>
    <x:row r="458">
      <x:c r="A458" s="10" t="str">
        <x:v>LOC126343175</x:v>
      </x:c>
      <x:c r="B458" s="10" t="str">
        <x:v>transferrin</x:v>
      </x:c>
      <x:c r="C458" s="19" t="str">
        <x:f>IF(COUNTIF('Colleague 115'!$A$2:$A$116,A458)&gt;0,"Yes","No")</x:f>
        <x:v>Yes</x:v>
      </x:c>
      <x:c r="D458" s="19" t="str">
        <x:f>IF(COUNTIF('Volcano 402'!$A$2:$A$403,A458)&gt;0,"Yes","No")</x:f>
        <x:v>No</x:v>
      </x:c>
      <x:c r="E458" s="19" t="str">
        <x:f>IF(COUNTIF('Heatmap 169'!$A$2:$A$170,A458)&gt;0,"Yes","No")</x:f>
        <x:v>No</x:v>
      </x:c>
      <x:c r="F458" s="19" t="n">
        <x:f>COUNTIF(C458:E458,"Yes")</x:f>
        <x:v>1</x:v>
      </x:c>
      <x:c r="G458" s="10" t="str">
        <x:f>IF(F458=3,"All three",IF(F458=2,IF(C458="No","Volcano + heatmap",IF(D458="No","Colleague + heatmap","Colleague + volcano")),IF(C458="Yes","Colleague only",IF(D458="Yes","Volcano only","Heatmap only"))))</x:f>
        <x:v>Colleague only</x:v>
      </x:c>
      <x:c r="H458" s="10" t="str">
        <x:v>Humoral Immunity</x:v>
      </x:c>
      <x:c r="I458" s="10" t="str">
        <x:v>Antimicrobial Peptides (AMPs)</x:v>
      </x:c>
      <x:c r="J458" s="10" t="str"/>
      <x:c r="K458" s="10" t="str"/>
      <x:c r="L458" s="10" t="str"/>
      <x:c r="M458" s="10" t="str"/>
      <x:c r="N458" s="10" t="str"/>
    </x:row>
    <x:row r="459">
      <x:c r="A459" s="10" t="str">
        <x:v>LOC126344004</x:v>
      </x:c>
      <x:c r="B459" s="10" t="str"/>
      <x:c r="C459" s="19" t="str">
        <x:f>IF(COUNTIF('Colleague 115'!$A$2:$A$116,A459)&gt;0,"Yes","No")</x:f>
        <x:v>No</x:v>
      </x:c>
      <x:c r="D459" s="19" t="str">
        <x:f>IF(COUNTIF('Volcano 402'!$A$2:$A$403,A459)&gt;0,"Yes","No")</x:f>
        <x:v>No</x:v>
      </x:c>
      <x:c r="E459" s="19" t="str">
        <x:f>IF(COUNTIF('Heatmap 169'!$A$2:$A$170,A459)&gt;0,"Yes","No")</x:f>
        <x:v>Yes</x:v>
      </x:c>
      <x:c r="F459" s="19" t="n">
        <x:f>COUNTIF(C459:E459,"Yes")</x:f>
        <x:v>1</x:v>
      </x:c>
      <x:c r="G459" s="10" t="str">
        <x:f>IF(F459=3,"All three",IF(F459=2,IF(C459="No","Volcano + heatmap",IF(D459="No","Colleague + heatmap","Colleague + volcano")),IF(C459="Yes","Colleague only",IF(D459="Yes","Volcano only","Heatmap only"))))</x:f>
        <x:v>Heatmap only</x:v>
      </x:c>
      <x:c r="H459" s="10" t="str"/>
      <x:c r="I459" s="10" t="str"/>
      <x:c r="J459" s="10" t="str"/>
      <x:c r="K459" s="10" t="str"/>
      <x:c r="L459" s="10" t="str">
        <x:v>Top DEG</x:v>
      </x:c>
      <x:c r="M459" s="10" t="str">
        <x:v>Other strong DEG</x:v>
      </x:c>
      <x:c r="N459" s="10" t="str">
        <x:v>DEG</x:v>
      </x:c>
    </x:row>
    <x:row r="460">
      <x:c r="A460" s="10" t="str">
        <x:v>LOC126345263</x:v>
      </x:c>
      <x:c r="B460" s="10" t="str">
        <x:v>peroxisomal acyl-coenzyme A oxidase 3</x:v>
      </x:c>
      <x:c r="C460" s="19" t="str">
        <x:f>IF(COUNTIF('Colleague 115'!$A$2:$A$116,A460)&gt;0,"Yes","No")</x:f>
        <x:v>No</x:v>
      </x:c>
      <x:c r="D460" s="19" t="str">
        <x:f>IF(COUNTIF('Volcano 402'!$A$2:$A$403,A460)&gt;0,"Yes","No")</x:f>
        <x:v>Yes</x:v>
      </x:c>
      <x:c r="E460" s="19" t="str">
        <x:f>IF(COUNTIF('Heatmap 169'!$A$2:$A$170,A460)&gt;0,"Yes","No")</x:f>
        <x:v>No</x:v>
      </x:c>
      <x:c r="F460" s="19" t="n">
        <x:f>COUNTIF(C460:E460,"Yes")</x:f>
        <x:v>1</x:v>
      </x:c>
      <x:c r="G460" s="10" t="str">
        <x:f>IF(F460=3,"All three",IF(F460=2,IF(C460="No","Volcano + heatmap",IF(D460="No","Colleague + heatmap","Colleague + volcano")),IF(C460="Yes","Colleague only",IF(D460="Yes","Volcano only","Heatmap only"))))</x:f>
        <x:v>Volcano only</x:v>
      </x:c>
      <x:c r="H460" s="10" t="str"/>
      <x:c r="I460" s="10" t="str"/>
      <x:c r="J460" s="10" t="str">
        <x:v>Lipid synthesis / metabolism</x:v>
      </x:c>
      <x:c r="K460" s="10" t="str">
        <x:v>infection_diet50</x:v>
      </x:c>
      <x:c r="L460" s="10" t="str"/>
      <x:c r="M460" s="10" t="str"/>
      <x:c r="N460" s="10" t="str"/>
    </x:row>
    <x:row r="461">
      <x:c r="A461" s="10" t="str">
        <x:v>LOC126349792</x:v>
      </x:c>
      <x:c r="B461" s="10" t="str">
        <x:v>complement component 1 Q subcomponent-binding protein, mitochondrial</x:v>
      </x:c>
      <x:c r="C461" s="19" t="str">
        <x:f>IF(COUNTIF('Colleague 115'!$A$2:$A$116,A461)&gt;0,"Yes","No")</x:f>
        <x:v>No</x:v>
      </x:c>
      <x:c r="D461" s="19" t="str">
        <x:f>IF(COUNTIF('Volcano 402'!$A$2:$A$403,A461)&gt;0,"Yes","No")</x:f>
        <x:v>Yes</x:v>
      </x:c>
      <x:c r="E461" s="19" t="str">
        <x:f>IF(COUNTIF('Heatmap 169'!$A$2:$A$170,A461)&gt;0,"Yes","No")</x:f>
        <x:v>No</x:v>
      </x:c>
      <x:c r="F461" s="19" t="n">
        <x:f>COUNTIF(C461:E461,"Yes")</x:f>
        <x:v>1</x:v>
      </x:c>
      <x:c r="G461" s="10" t="str">
        <x:f>IF(F461=3,"All three",IF(F461=2,IF(C461="No","Volcano + heatmap",IF(D461="No","Colleague + heatmap","Colleague + volcano")),IF(C461="Yes","Colleague only",IF(D461="Yes","Volcano only","Heatmap only"))))</x:f>
        <x:v>Volcano only</x:v>
      </x:c>
      <x:c r="H461" s="10" t="str"/>
      <x:c r="I461" s="10" t="str"/>
      <x:c r="J461" s="10" t="str">
        <x:v>Immune-related</x:v>
      </x:c>
      <x:c r="K461" s="10" t="str">
        <x:v>infection_diet50</x:v>
      </x:c>
      <x:c r="L461" s="10" t="str"/>
      <x:c r="M461" s="10" t="str"/>
      <x:c r="N461" s="10" t="str"/>
    </x:row>
    <x:row r="462">
      <x:c r="A462" s="10" t="str">
        <x:v>LOC126351946</x:v>
      </x:c>
      <x:c r="B462" s="10" t="str">
        <x:v>translation initiation factor IF-2</x:v>
      </x:c>
      <x:c r="C462" s="19" t="str">
        <x:f>IF(COUNTIF('Colleague 115'!$A$2:$A$116,A462)&gt;0,"Yes","No")</x:f>
        <x:v>Yes</x:v>
      </x:c>
      <x:c r="D462" s="19" t="str">
        <x:f>IF(COUNTIF('Volcano 402'!$A$2:$A$403,A462)&gt;0,"Yes","No")</x:f>
        <x:v>Yes</x:v>
      </x:c>
      <x:c r="E462" s="19" t="str">
        <x:f>IF(COUNTIF('Heatmap 169'!$A$2:$A$170,A462)&gt;0,"Yes","No")</x:f>
        <x:v>No</x:v>
      </x:c>
      <x:c r="F462" s="19" t="n">
        <x:f>COUNTIF(C462:E462,"Yes")</x:f>
        <x:v>2</x:v>
      </x:c>
      <x:c r="G462" s="10" t="str">
        <x:f>IF(F462=3,"All three",IF(F462=2,IF(C462="No","Volcano + heatmap",IF(D462="No","Colleague + heatmap","Colleague + volcano")),IF(C462="Yes","Colleague only",IF(D462="Yes","Volcano only","Heatmap only"))))</x:f>
        <x:v>Colleague + volcano</x:v>
      </x:c>
      <x:c r="H462" s="10" t="str">
        <x:v>Protein Synthesis &amp; Translation</x:v>
      </x:c>
      <x:c r="I462" s="10" t="str">
        <x:v>Translation Initiation &amp; Elongation Factors</x:v>
      </x:c>
      <x:c r="J462" s="10" t="str">
        <x:v>Protein synthesis / storage</x:v>
      </x:c>
      <x:c r="K462" s="10" t="str">
        <x:v>infection_average_all_diets; infection_diet50</x:v>
      </x:c>
      <x:c r="L462" s="10" t="str"/>
      <x:c r="M462" s="10" t="str"/>
      <x:c r="N462" s="10" t="str"/>
    </x:row>
    <x:row r="463">
      <x:c r="A463" s="10" t="str">
        <x:v>LOC126352796</x:v>
      </x:c>
      <x:c r="B463" s="10" t="str">
        <x:v>CLIP domain-containing serine protease HP8-like</x:v>
      </x:c>
      <x:c r="C463" s="19" t="str">
        <x:f>IF(COUNTIF('Colleague 115'!$A$2:$A$116,A463)&gt;0,"Yes","No")</x:f>
        <x:v>Yes</x:v>
      </x:c>
      <x:c r="D463" s="19" t="str">
        <x:f>IF(COUNTIF('Volcano 402'!$A$2:$A$403,A463)&gt;0,"Yes","No")</x:f>
        <x:v>No</x:v>
      </x:c>
      <x:c r="E463" s="19" t="str">
        <x:f>IF(COUNTIF('Heatmap 169'!$A$2:$A$170,A463)&gt;0,"Yes","No")</x:f>
        <x:v>No</x:v>
      </x:c>
      <x:c r="F463" s="19" t="n">
        <x:f>COUNTIF(C463:E463,"Yes")</x:f>
        <x:v>1</x:v>
      </x:c>
      <x:c r="G463" s="10" t="str">
        <x:f>IF(F463=3,"All three",IF(F463=2,IF(C463="No","Volcano + heatmap",IF(D463="No","Colleague + heatmap","Colleague + volcano")),IF(C463="Yes","Colleague only",IF(D463="Yes","Volcano only","Heatmap only"))))</x:f>
        <x:v>Colleague only</x:v>
      </x:c>
      <x:c r="H463" s="10" t="str">
        <x:v>Innate Immune Recognition &amp; Signaling</x:v>
      </x:c>
      <x:c r="I463" s="10" t="str">
        <x:v>Serine Protease Cascades</x:v>
      </x:c>
      <x:c r="J463" s="10" t="str"/>
      <x:c r="K463" s="10" t="str"/>
      <x:c r="L463" s="10" t="str"/>
      <x:c r="M463" s="10" t="str"/>
      <x:c r="N463" s="10" t="str"/>
    </x:row>
    <x:row r="464">
      <x:c r="A464" s="10" t="str">
        <x:v>LOC126352958</x:v>
      </x:c>
      <x:c r="B464" s="10" t="str">
        <x:v>ornithine aminotransferase, mitochondrial</x:v>
      </x:c>
      <x:c r="C464" s="19" t="str">
        <x:f>IF(COUNTIF('Colleague 115'!$A$2:$A$116,A464)&gt;0,"Yes","No")</x:f>
        <x:v>Yes</x:v>
      </x:c>
      <x:c r="D464" s="19" t="str">
        <x:f>IF(COUNTIF('Volcano 402'!$A$2:$A$403,A464)&gt;0,"Yes","No")</x:f>
        <x:v>No</x:v>
      </x:c>
      <x:c r="E464" s="19" t="str">
        <x:f>IF(COUNTIF('Heatmap 169'!$A$2:$A$170,A464)&gt;0,"Yes","No")</x:f>
        <x:v>No</x:v>
      </x:c>
      <x:c r="F464" s="19" t="n">
        <x:f>COUNTIF(C464:E464,"Yes")</x:f>
        <x:v>1</x:v>
      </x:c>
      <x:c r="G464" s="10" t="str">
        <x:f>IF(F464=3,"All three",IF(F464=2,IF(C464="No","Volcano + heatmap",IF(D464="No","Colleague + heatmap","Colleague + volcano")),IF(C464="Yes","Colleague only",IF(D464="Yes","Volcano only","Heatmap only"))))</x:f>
        <x:v>Colleague only</x:v>
      </x:c>
      <x:c r="H464" s="10" t="str">
        <x:v>Nitrogen, Amino Acid Transport &amp; Metabolism</x:v>
      </x:c>
      <x:c r="I464" s="10" t="str">
        <x:v>Amino Acid Transaminases &amp; Biosynthesis</x:v>
      </x:c>
      <x:c r="J464" s="10" t="str"/>
      <x:c r="K464" s="10" t="str"/>
      <x:c r="L464" s="10" t="str"/>
      <x:c r="M464" s="10" t="str"/>
      <x:c r="N464" s="10" t="str"/>
    </x:row>
    <x:row r="465">
      <x:c r="A465" s="10" t="str">
        <x:v>LOC126353855</x:v>
      </x:c>
      <x:c r="B465" s="10" t="str">
        <x:v>NADPH--cytochrome P450 reductase</x:v>
      </x:c>
      <x:c r="C465" s="19" t="str">
        <x:f>IF(COUNTIF('Colleague 115'!$A$2:$A$116,A465)&gt;0,"Yes","No")</x:f>
        <x:v>No</x:v>
      </x:c>
      <x:c r="D465" s="19" t="str">
        <x:f>IF(COUNTIF('Volcano 402'!$A$2:$A$403,A465)&gt;0,"Yes","No")</x:f>
        <x:v>Yes</x:v>
      </x:c>
      <x:c r="E465" s="19" t="str">
        <x:f>IF(COUNTIF('Heatmap 169'!$A$2:$A$170,A465)&gt;0,"Yes","No")</x:f>
        <x:v>No</x:v>
      </x:c>
      <x:c r="F465" s="19" t="n">
        <x:f>COUNTIF(C465:E465,"Yes")</x:f>
        <x:v>1</x:v>
      </x:c>
      <x:c r="G465" s="10" t="str">
        <x:f>IF(F465=3,"All three",IF(F465=2,IF(C465="No","Volcano + heatmap",IF(D465="No","Colleague + heatmap","Colleague + volcano")),IF(C465="Yes","Colleague only",IF(D465="Yes","Volcano only","Heatmap only"))))</x:f>
        <x:v>Volcano only</x:v>
      </x:c>
      <x:c r="H465" s="10" t="str"/>
      <x:c r="I465" s="10" t="str"/>
      <x:c r="J465" s="10" t="str">
        <x:v>Detoxification / stress</x:v>
      </x:c>
      <x:c r="K465" s="10" t="str">
        <x:v>infection_average_all_diets; infection_diet33; infection_diet50; infection_diet83</x:v>
      </x:c>
      <x:c r="L465" s="10" t="str"/>
      <x:c r="M465" s="10" t="str"/>
      <x:c r="N465" s="10" t="str"/>
    </x:row>
    <x:row r="466">
      <x:c r="A466" s="10" t="str">
        <x:v>LOC126353927</x:v>
      </x:c>
      <x:c r="B466" s="10" t="str">
        <x:v>cationic amino acid transporter 3</x:v>
      </x:c>
      <x:c r="C466" s="19" t="str">
        <x:f>IF(COUNTIF('Colleague 115'!$A$2:$A$116,A466)&gt;0,"Yes","No")</x:f>
        <x:v>Yes</x:v>
      </x:c>
      <x:c r="D466" s="19" t="str">
        <x:f>IF(COUNTIF('Volcano 402'!$A$2:$A$403,A466)&gt;0,"Yes","No")</x:f>
        <x:v>No</x:v>
      </x:c>
      <x:c r="E466" s="19" t="str">
        <x:f>IF(COUNTIF('Heatmap 169'!$A$2:$A$170,A466)&gt;0,"Yes","No")</x:f>
        <x:v>No</x:v>
      </x:c>
      <x:c r="F466" s="19" t="n">
        <x:f>COUNTIF(C466:E466,"Yes")</x:f>
        <x:v>1</x:v>
      </x:c>
      <x:c r="G466" s="10" t="str">
        <x:f>IF(F466=3,"All three",IF(F466=2,IF(C466="No","Volcano + heatmap",IF(D466="No","Colleague + heatmap","Colleague + volcano")),IF(C466="Yes","Colleague only",IF(D466="Yes","Volcano only","Heatmap only"))))</x:f>
        <x:v>Colleague only</x:v>
      </x:c>
      <x:c r="H466" s="10" t="str">
        <x:v>Nitrogen, Amino Acid Transport &amp; Metabolism</x:v>
      </x:c>
      <x:c r="I466" s="10" t="str">
        <x:v>Cationic &amp; Neutral Amino Acid Transporters</x:v>
      </x:c>
      <x:c r="J466" s="10" t="str"/>
      <x:c r="K466" s="10" t="str"/>
      <x:c r="L466" s="10" t="str"/>
      <x:c r="M466" s="10" t="str"/>
      <x:c r="N466" s="10" t="str"/>
    </x:row>
    <x:row r="467">
      <x:c r="A467" s="10" t="str">
        <x:v>LOC126353931</x:v>
      </x:c>
      <x:c r="B467" s="10" t="str">
        <x:v>high affinity cationic amino acid transporter 1-like</x:v>
      </x:c>
      <x:c r="C467" s="19" t="str">
        <x:f>IF(COUNTIF('Colleague 115'!$A$2:$A$116,A467)&gt;0,"Yes","No")</x:f>
        <x:v>Yes</x:v>
      </x:c>
      <x:c r="D467" s="19" t="str">
        <x:f>IF(COUNTIF('Volcano 402'!$A$2:$A$403,A467)&gt;0,"Yes","No")</x:f>
        <x:v>No</x:v>
      </x:c>
      <x:c r="E467" s="19" t="str">
        <x:f>IF(COUNTIF('Heatmap 169'!$A$2:$A$170,A467)&gt;0,"Yes","No")</x:f>
        <x:v>No</x:v>
      </x:c>
      <x:c r="F467" s="19" t="n">
        <x:f>COUNTIF(C467:E467,"Yes")</x:f>
        <x:v>1</x:v>
      </x:c>
      <x:c r="G467" s="10" t="str">
        <x:f>IF(F467=3,"All three",IF(F467=2,IF(C467="No","Volcano + heatmap",IF(D467="No","Colleague + heatmap","Colleague + volcano")),IF(C467="Yes","Colleague only",IF(D467="Yes","Volcano only","Heatmap only"))))</x:f>
        <x:v>Colleague only</x:v>
      </x:c>
      <x:c r="H467" s="10" t="str">
        <x:v>Nitrogen, Amino Acid Transport &amp; Metabolism</x:v>
      </x:c>
      <x:c r="I467" s="10" t="str">
        <x:v>Cationic &amp; Neutral Amino Acid Transporters</x:v>
      </x:c>
      <x:c r="J467" s="10" t="str"/>
      <x:c r="K467" s="10" t="str"/>
      <x:c r="L467" s="10" t="str"/>
      <x:c r="M467" s="10" t="str"/>
      <x:c r="N467" s="10" t="str"/>
    </x:row>
    <x:row r="468">
      <x:c r="A468" s="10" t="str">
        <x:v>LOC126353952</x:v>
      </x:c>
      <x:c r="B468" s="10" t="str">
        <x:v>serine protease snake-like</x:v>
      </x:c>
      <x:c r="C468" s="19" t="str">
        <x:f>IF(COUNTIF('Colleague 115'!$A$2:$A$116,A468)&gt;0,"Yes","No")</x:f>
        <x:v>Yes</x:v>
      </x:c>
      <x:c r="D468" s="19" t="str">
        <x:f>IF(COUNTIF('Volcano 402'!$A$2:$A$403,A468)&gt;0,"Yes","No")</x:f>
        <x:v>No</x:v>
      </x:c>
      <x:c r="E468" s="19" t="str">
        <x:f>IF(COUNTIF('Heatmap 169'!$A$2:$A$170,A468)&gt;0,"Yes","No")</x:f>
        <x:v>No</x:v>
      </x:c>
      <x:c r="F468" s="19" t="n">
        <x:f>COUNTIF(C468:E468,"Yes")</x:f>
        <x:v>1</x:v>
      </x:c>
      <x:c r="G468" s="10" t="str">
        <x:f>IF(F468=3,"All three",IF(F468=2,IF(C468="No","Volcano + heatmap",IF(D468="No","Colleague + heatmap","Colleague + volcano")),IF(C468="Yes","Colleague only",IF(D468="Yes","Volcano only","Heatmap only"))))</x:f>
        <x:v>Colleague only</x:v>
      </x:c>
      <x:c r="H468" s="10" t="str">
        <x:v>Innate Immune Recognition &amp; Signaling</x:v>
      </x:c>
      <x:c r="I468" s="10" t="str">
        <x:v>Serine Protease Cascades</x:v>
      </x:c>
      <x:c r="J468" s="10" t="str"/>
      <x:c r="K468" s="10" t="str"/>
      <x:c r="L468" s="10" t="str"/>
      <x:c r="M468" s="10" t="str"/>
      <x:c r="N468" s="10" t="str"/>
    </x:row>
    <x:row r="469">
      <x:c r="A469" s="10" t="str">
        <x:v>LOC126354003</x:v>
      </x:c>
      <x:c r="B469" s="10" t="str">
        <x:v>peroxidase-like</x:v>
      </x:c>
      <x:c r="C469" s="19" t="str">
        <x:f>IF(COUNTIF('Colleague 115'!$A$2:$A$116,A469)&gt;0,"Yes","No")</x:f>
        <x:v>No</x:v>
      </x:c>
      <x:c r="D469" s="19" t="str">
        <x:f>IF(COUNTIF('Volcano 402'!$A$2:$A$403,A469)&gt;0,"Yes","No")</x:f>
        <x:v>Yes</x:v>
      </x:c>
      <x:c r="E469" s="19" t="str">
        <x:f>IF(COUNTIF('Heatmap 169'!$A$2:$A$170,A469)&gt;0,"Yes","No")</x:f>
        <x:v>No</x:v>
      </x:c>
      <x:c r="F469" s="19" t="n">
        <x:f>COUNTIF(C469:E469,"Yes")</x:f>
        <x:v>1</x:v>
      </x:c>
      <x:c r="G469" s="10" t="str">
        <x:f>IF(F469=3,"All three",IF(F469=2,IF(C469="No","Volcano + heatmap",IF(D469="No","Colleague + heatmap","Colleague + volcano")),IF(C469="Yes","Colleague only",IF(D469="Yes","Volcano only","Heatmap only"))))</x:f>
        <x:v>Volcano only</x:v>
      </x:c>
      <x:c r="H469" s="10" t="str"/>
      <x:c r="I469" s="10" t="str"/>
      <x:c r="J469" s="10" t="str">
        <x:v>Detoxification / stress</x:v>
      </x:c>
      <x:c r="K469" s="10" t="str">
        <x:v>infection_diet50</x:v>
      </x:c>
      <x:c r="L469" s="10" t="str"/>
      <x:c r="M469" s="10" t="str"/>
      <x:c r="N469" s="10" t="str"/>
    </x:row>
    <x:row r="470">
      <x:c r="A470" s="10" t="str">
        <x:v>LOC126354017</x:v>
      </x:c>
      <x:c r="B470" s="10" t="str">
        <x:v>It is involved in the biological process described with transmembrane transport</x:v>
      </x:c>
      <x:c r="C470" s="19" t="str">
        <x:f>IF(COUNTIF('Colleague 115'!$A$2:$A$116,A470)&gt;0,"Yes","No")</x:f>
        <x:v>No</x:v>
      </x:c>
      <x:c r="D470" s="19" t="str">
        <x:f>IF(COUNTIF('Volcano 402'!$A$2:$A$403,A470)&gt;0,"Yes","No")</x:f>
        <x:v>No</x:v>
      </x:c>
      <x:c r="E470" s="19" t="str">
        <x:f>IF(COUNTIF('Heatmap 169'!$A$2:$A$170,A470)&gt;0,"Yes","No")</x:f>
        <x:v>Yes</x:v>
      </x:c>
      <x:c r="F470" s="19" t="n">
        <x:f>COUNTIF(C470:E470,"Yes")</x:f>
        <x:v>1</x:v>
      </x:c>
      <x:c r="G470" s="10" t="str">
        <x:f>IF(F470=3,"All three",IF(F470=2,IF(C470="No","Volcano + heatmap",IF(D470="No","Colleague + heatmap","Colleague + volcano")),IF(C470="Yes","Colleague only",IF(D470="Yes","Volcano only","Heatmap only"))))</x:f>
        <x:v>Heatmap only</x:v>
      </x:c>
      <x:c r="H470" s="10" t="str"/>
      <x:c r="I470" s="10" t="str"/>
      <x:c r="J470" s="10" t="str"/>
      <x:c r="K470" s="10" t="str"/>
      <x:c r="L470" s="10" t="str">
        <x:v>Top DEG</x:v>
      </x:c>
      <x:c r="M470" s="10" t="str">
        <x:v>Other strong DEG</x:v>
      </x:c>
      <x:c r="N470" s="10" t="str">
        <x:v>DEG</x:v>
      </x:c>
    </x:row>
    <x:row r="471">
      <x:c r="A471" s="10" t="str">
        <x:v>LOC126354062</x:v>
      </x:c>
      <x:c r="B471" s="10" t="str">
        <x:v>Belongs to the type-B carboxylesterase lipase family</x:v>
      </x:c>
      <x:c r="C471" s="19" t="str">
        <x:f>IF(COUNTIF('Colleague 115'!$A$2:$A$116,A471)&gt;0,"Yes","No")</x:f>
        <x:v>No</x:v>
      </x:c>
      <x:c r="D471" s="19" t="str">
        <x:f>IF(COUNTIF('Volcano 402'!$A$2:$A$403,A471)&gt;0,"Yes","No")</x:f>
        <x:v>No</x:v>
      </x:c>
      <x:c r="E471" s="19" t="str">
        <x:f>IF(COUNTIF('Heatmap 169'!$A$2:$A$170,A471)&gt;0,"Yes","No")</x:f>
        <x:v>Yes</x:v>
      </x:c>
      <x:c r="F471" s="19" t="n">
        <x:f>COUNTIF(C471:E471,"Yes")</x:f>
        <x:v>1</x:v>
      </x:c>
      <x:c r="G471" s="10" t="str">
        <x:f>IF(F471=3,"All three",IF(F471=2,IF(C471="No","Volcano + heatmap",IF(D471="No","Colleague + heatmap","Colleague + volcano")),IF(C471="Yes","Colleague only",IF(D471="Yes","Volcano only","Heatmap only"))))</x:f>
        <x:v>Heatmap only</x:v>
      </x:c>
      <x:c r="H471" s="10" t="str"/>
      <x:c r="I471" s="10" t="str"/>
      <x:c r="J471" s="10" t="str"/>
      <x:c r="K471" s="10" t="str"/>
      <x:c r="L471" s="10" t="str">
        <x:v>Functional candidate</x:v>
      </x:c>
      <x:c r="M471" s="10" t="str">
        <x:v>Nutrition/metabolism</x:v>
      </x:c>
      <x:c r="N471" s="10" t="str">
        <x:v>Not DEG</x:v>
      </x:c>
    </x:row>
    <x:row r="472">
      <x:c r="A472" s="10" t="str">
        <x:v>LOC126354065</x:v>
      </x:c>
      <x:c r="B472" s="10" t="str">
        <x:v>Belongs to the type-B carboxylesterase lipase family</x:v>
      </x:c>
      <x:c r="C472" s="19" t="str">
        <x:f>IF(COUNTIF('Colleague 115'!$A$2:$A$116,A472)&gt;0,"Yes","No")</x:f>
        <x:v>No</x:v>
      </x:c>
      <x:c r="D472" s="19" t="str">
        <x:f>IF(COUNTIF('Volcano 402'!$A$2:$A$403,A472)&gt;0,"Yes","No")</x:f>
        <x:v>No</x:v>
      </x:c>
      <x:c r="E472" s="19" t="str">
        <x:f>IF(COUNTIF('Heatmap 169'!$A$2:$A$170,A472)&gt;0,"Yes","No")</x:f>
        <x:v>Yes</x:v>
      </x:c>
      <x:c r="F472" s="19" t="n">
        <x:f>COUNTIF(C472:E472,"Yes")</x:f>
        <x:v>1</x:v>
      </x:c>
      <x:c r="G472" s="10" t="str">
        <x:f>IF(F472=3,"All three",IF(F472=2,IF(C472="No","Volcano + heatmap",IF(D472="No","Colleague + heatmap","Colleague + volcano")),IF(C472="Yes","Colleague only",IF(D472="Yes","Volcano only","Heatmap only"))))</x:f>
        <x:v>Heatmap only</x:v>
      </x:c>
      <x:c r="H472" s="10" t="str"/>
      <x:c r="I472" s="10" t="str"/>
      <x:c r="J472" s="10" t="str"/>
      <x:c r="K472" s="10" t="str"/>
      <x:c r="L472" s="10" t="str">
        <x:v>Functional candidate</x:v>
      </x:c>
      <x:c r="M472" s="10" t="str">
        <x:v>Nutrition/metabolism</x:v>
      </x:c>
      <x:c r="N472" s="10" t="str">
        <x:v>Not DEG</x:v>
      </x:c>
    </x:row>
    <x:row r="473">
      <x:c r="A473" s="10" t="str">
        <x:v>LOC126354067</x:v>
      </x:c>
      <x:c r="B473" s="10" t="str">
        <x:v>juvenile hormone esterase-like</x:v>
      </x:c>
      <x:c r="C473" s="19" t="str">
        <x:f>IF(COUNTIF('Colleague 115'!$A$2:$A$116,A473)&gt;0,"Yes","No")</x:f>
        <x:v>No</x:v>
      </x:c>
      <x:c r="D473" s="19" t="str">
        <x:f>IF(COUNTIF('Volcano 402'!$A$2:$A$403,A473)&gt;0,"Yes","No")</x:f>
        <x:v>Yes</x:v>
      </x:c>
      <x:c r="E473" s="19" t="str">
        <x:f>IF(COUNTIF('Heatmap 169'!$A$2:$A$170,A473)&gt;0,"Yes","No")</x:f>
        <x:v>No</x:v>
      </x:c>
      <x:c r="F473" s="19" t="n">
        <x:f>COUNTIF(C473:E473,"Yes")</x:f>
        <x:v>1</x:v>
      </x:c>
      <x:c r="G473" s="10" t="str">
        <x:f>IF(F473=3,"All three",IF(F473=2,IF(C473="No","Volcano + heatmap",IF(D473="No","Colleague + heatmap","Colleague + volcano")),IF(C473="Yes","Colleague only",IF(D473="Yes","Volcano only","Heatmap only"))))</x:f>
        <x:v>Volcano only</x:v>
      </x:c>
      <x:c r="H473" s="10" t="str"/>
      <x:c r="I473" s="10" t="str"/>
      <x:c r="J473" s="10" t="str">
        <x:v>Lipid synthesis / metabolism</x:v>
      </x:c>
      <x:c r="K473" s="10" t="str">
        <x:v>infection_diet50</x:v>
      </x:c>
      <x:c r="L473" s="10" t="str"/>
      <x:c r="M473" s="10" t="str"/>
      <x:c r="N473" s="10" t="str"/>
    </x:row>
    <x:row r="474">
      <x:c r="A474" s="10" t="str">
        <x:v>LOC126354068</x:v>
      </x:c>
      <x:c r="B474" s="10" t="str">
        <x:v>cholinesterase-like</x:v>
      </x:c>
      <x:c r="C474" s="19" t="str">
        <x:f>IF(COUNTIF('Colleague 115'!$A$2:$A$116,A474)&gt;0,"Yes","No")</x:f>
        <x:v>No</x:v>
      </x:c>
      <x:c r="D474" s="19" t="str">
        <x:f>IF(COUNTIF('Volcano 402'!$A$2:$A$403,A474)&gt;0,"Yes","No")</x:f>
        <x:v>Yes</x:v>
      </x:c>
      <x:c r="E474" s="19" t="str">
        <x:f>IF(COUNTIF('Heatmap 169'!$A$2:$A$170,A474)&gt;0,"Yes","No")</x:f>
        <x:v>No</x:v>
      </x:c>
      <x:c r="F474" s="19" t="n">
        <x:f>COUNTIF(C474:E474,"Yes")</x:f>
        <x:v>1</x:v>
      </x:c>
      <x:c r="G474" s="10" t="str">
        <x:f>IF(F474=3,"All three",IF(F474=2,IF(C474="No","Volcano + heatmap",IF(D474="No","Colleague + heatmap","Colleague + volcano")),IF(C474="Yes","Colleague only",IF(D474="Yes","Volcano only","Heatmap only"))))</x:f>
        <x:v>Volcano only</x:v>
      </x:c>
      <x:c r="H474" s="10" t="str"/>
      <x:c r="I474" s="10" t="str"/>
      <x:c r="J474" s="10" t="str">
        <x:v>Lipid synthesis / metabolism</x:v>
      </x:c>
      <x:c r="K474" s="10" t="str">
        <x:v>infection_average_all_diets; infection_diet50; infection_diet83</x:v>
      </x:c>
      <x:c r="L474" s="10" t="str"/>
      <x:c r="M474" s="10" t="str"/>
      <x:c r="N474" s="10" t="str"/>
    </x:row>
    <x:row r="475">
      <x:c r="A475" s="10" t="str">
        <x:v>LOC126354097</x:v>
      </x:c>
      <x:c r="B475" s="10" t="str">
        <x:v>ABC transporter G family member 23-like</x:v>
      </x:c>
      <x:c r="C475" s="19" t="str">
        <x:f>IF(COUNTIF('Colleague 115'!$A$2:$A$116,A475)&gt;0,"Yes","No")</x:f>
        <x:v>No</x:v>
      </x:c>
      <x:c r="D475" s="19" t="str">
        <x:f>IF(COUNTIF('Volcano 402'!$A$2:$A$403,A475)&gt;0,"Yes","No")</x:f>
        <x:v>Yes</x:v>
      </x:c>
      <x:c r="E475" s="19" t="str">
        <x:f>IF(COUNTIF('Heatmap 169'!$A$2:$A$170,A475)&gt;0,"Yes","No")</x:f>
        <x:v>No</x:v>
      </x:c>
      <x:c r="F475" s="19" t="n">
        <x:f>COUNTIF(C475:E475,"Yes")</x:f>
        <x:v>1</x:v>
      </x:c>
      <x:c r="G475" s="10" t="str">
        <x:f>IF(F475=3,"All three",IF(F475=2,IF(C475="No","Volcano + heatmap",IF(D475="No","Colleague + heatmap","Colleague + volcano")),IF(C475="Yes","Colleague only",IF(D475="Yes","Volcano only","Heatmap only"))))</x:f>
        <x:v>Volcano only</x:v>
      </x:c>
      <x:c r="H475" s="10" t="str"/>
      <x:c r="I475" s="10" t="str"/>
      <x:c r="J475" s="10" t="str">
        <x:v>Detoxification / stress</x:v>
      </x:c>
      <x:c r="K475" s="10" t="str">
        <x:v>infection_diet83</x:v>
      </x:c>
      <x:c r="L475" s="10" t="str"/>
      <x:c r="M475" s="10" t="str"/>
      <x:c r="N475" s="10" t="str"/>
    </x:row>
    <x:row r="476">
      <x:c r="A476" s="10" t="str">
        <x:v>LOC126354172</x:v>
      </x:c>
      <x:c r="B476" s="10" t="str">
        <x:v>cytochrome P450 4C1-like</x:v>
      </x:c>
      <x:c r="C476" s="19" t="str">
        <x:f>IF(COUNTIF('Colleague 115'!$A$2:$A$116,A476)&gt;0,"Yes","No")</x:f>
        <x:v>No</x:v>
      </x:c>
      <x:c r="D476" s="19" t="str">
        <x:f>IF(COUNTIF('Volcano 402'!$A$2:$A$403,A476)&gt;0,"Yes","No")</x:f>
        <x:v>Yes</x:v>
      </x:c>
      <x:c r="E476" s="19" t="str">
        <x:f>IF(COUNTIF('Heatmap 169'!$A$2:$A$170,A476)&gt;0,"Yes","No")</x:f>
        <x:v>Yes</x:v>
      </x:c>
      <x:c r="F476" s="19" t="n">
        <x:f>COUNTIF(C476:E476,"Yes")</x:f>
        <x:v>2</x:v>
      </x:c>
      <x:c r="G476" s="10" t="str">
        <x:f>IF(F476=3,"All three",IF(F476=2,IF(C476="No","Volcano + heatmap",IF(D476="No","Colleague + heatmap","Colleague + volcano")),IF(C476="Yes","Colleague only",IF(D476="Yes","Volcano only","Heatmap only"))))</x:f>
        <x:v>Volcano + heatmap</x:v>
      </x:c>
      <x:c r="H476" s="10" t="str"/>
      <x:c r="I476" s="10" t="str"/>
      <x:c r="J476" s="10" t="str">
        <x:v>Detoxification / stress</x:v>
      </x:c>
      <x:c r="K476" s="10" t="str">
        <x:v>infection_average_all_diets; infection_diet33</x:v>
      </x:c>
      <x:c r="L476" s="10" t="str">
        <x:v>Functional candidate</x:v>
      </x:c>
      <x:c r="M476" s="10" t="str">
        <x:v>Detoxification/stress</x:v>
      </x:c>
      <x:c r="N476" s="10" t="str">
        <x:v>DEG</x:v>
      </x:c>
    </x:row>
    <x:row r="477">
      <x:c r="A477" s="10" t="str">
        <x:v>LOC126354174</x:v>
      </x:c>
      <x:c r="B477" s="10" t="str">
        <x:v>cytochrome P450 4V2-like</x:v>
      </x:c>
      <x:c r="C477" s="19" t="str">
        <x:f>IF(COUNTIF('Colleague 115'!$A$2:$A$116,A477)&gt;0,"Yes","No")</x:f>
        <x:v>No</x:v>
      </x:c>
      <x:c r="D477" s="19" t="str">
        <x:f>IF(COUNTIF('Volcano 402'!$A$2:$A$403,A477)&gt;0,"Yes","No")</x:f>
        <x:v>Yes</x:v>
      </x:c>
      <x:c r="E477" s="19" t="str">
        <x:f>IF(COUNTIF('Heatmap 169'!$A$2:$A$170,A477)&gt;0,"Yes","No")</x:f>
        <x:v>No</x:v>
      </x:c>
      <x:c r="F477" s="19" t="n">
        <x:f>COUNTIF(C477:E477,"Yes")</x:f>
        <x:v>1</x:v>
      </x:c>
      <x:c r="G477" s="10" t="str">
        <x:f>IF(F477=3,"All three",IF(F477=2,IF(C477="No","Volcano + heatmap",IF(D477="No","Colleague + heatmap","Colleague + volcano")),IF(C477="Yes","Colleague only",IF(D477="Yes","Volcano only","Heatmap only"))))</x:f>
        <x:v>Volcano only</x:v>
      </x:c>
      <x:c r="H477" s="10" t="str"/>
      <x:c r="I477" s="10" t="str"/>
      <x:c r="J477" s="10" t="str">
        <x:v>Detoxification / stress</x:v>
      </x:c>
      <x:c r="K477" s="10" t="str">
        <x:v>infection_average_all_diets; infection_diet50</x:v>
      </x:c>
      <x:c r="L477" s="10" t="str"/>
      <x:c r="M477" s="10" t="str"/>
      <x:c r="N477" s="10" t="str"/>
    </x:row>
    <x:row r="478">
      <x:c r="A478" s="10" t="str">
        <x:v>LOC126354206</x:v>
      </x:c>
      <x:c r="B478" s="10" t="str">
        <x:v>Cytochrome P450</x:v>
      </x:c>
      <x:c r="C478" s="19" t="str">
        <x:f>IF(COUNTIF('Colleague 115'!$A$2:$A$116,A478)&gt;0,"Yes","No")</x:f>
        <x:v>No</x:v>
      </x:c>
      <x:c r="D478" s="19" t="str">
        <x:f>IF(COUNTIF('Volcano 402'!$A$2:$A$403,A478)&gt;0,"Yes","No")</x:f>
        <x:v>No</x:v>
      </x:c>
      <x:c r="E478" s="19" t="str">
        <x:f>IF(COUNTIF('Heatmap 169'!$A$2:$A$170,A478)&gt;0,"Yes","No")</x:f>
        <x:v>Yes</x:v>
      </x:c>
      <x:c r="F478" s="19" t="n">
        <x:f>COUNTIF(C478:E478,"Yes")</x:f>
        <x:v>1</x:v>
      </x:c>
      <x:c r="G478" s="10" t="str">
        <x:f>IF(F478=3,"All three",IF(F478=2,IF(C478="No","Volcano + heatmap",IF(D478="No","Colleague + heatmap","Colleague + volcano")),IF(C478="Yes","Colleague only",IF(D478="Yes","Volcano only","Heatmap only"))))</x:f>
        <x:v>Heatmap only</x:v>
      </x:c>
      <x:c r="H478" s="10" t="str"/>
      <x:c r="I478" s="10" t="str"/>
      <x:c r="J478" s="10" t="str"/>
      <x:c r="K478" s="10" t="str"/>
      <x:c r="L478" s="10" t="str">
        <x:v>Functional candidate</x:v>
      </x:c>
      <x:c r="M478" s="10" t="str">
        <x:v>Detoxification/stress</x:v>
      </x:c>
      <x:c r="N478" s="10" t="str">
        <x:v>Not DEG</x:v>
      </x:c>
    </x:row>
    <x:row r="479">
      <x:c r="A479" s="10" t="str">
        <x:v>LOC126354211</x:v>
      </x:c>
      <x:c r="B479" s="10" t="str">
        <x:v>CLIP domain-containing serine protease HP8-like</x:v>
      </x:c>
      <x:c r="C479" s="19" t="str">
        <x:f>IF(COUNTIF('Colleague 115'!$A$2:$A$116,A479)&gt;0,"Yes","No")</x:f>
        <x:v>Yes</x:v>
      </x:c>
      <x:c r="D479" s="19" t="str">
        <x:f>IF(COUNTIF('Volcano 402'!$A$2:$A$403,A479)&gt;0,"Yes","No")</x:f>
        <x:v>No</x:v>
      </x:c>
      <x:c r="E479" s="19" t="str">
        <x:f>IF(COUNTIF('Heatmap 169'!$A$2:$A$170,A479)&gt;0,"Yes","No")</x:f>
        <x:v>No</x:v>
      </x:c>
      <x:c r="F479" s="19" t="n">
        <x:f>COUNTIF(C479:E479,"Yes")</x:f>
        <x:v>1</x:v>
      </x:c>
      <x:c r="G479" s="10" t="str">
        <x:f>IF(F479=3,"All three",IF(F479=2,IF(C479="No","Volcano + heatmap",IF(D479="No","Colleague + heatmap","Colleague + volcano")),IF(C479="Yes","Colleague only",IF(D479="Yes","Volcano only","Heatmap only"))))</x:f>
        <x:v>Colleague only</x:v>
      </x:c>
      <x:c r="H479" s="10" t="str">
        <x:v>Innate Immune Recognition &amp; Signaling</x:v>
      </x:c>
      <x:c r="I479" s="10" t="str">
        <x:v>Serine Protease Cascades</x:v>
      </x:c>
      <x:c r="J479" s="10" t="str"/>
      <x:c r="K479" s="10" t="str"/>
      <x:c r="L479" s="10" t="str"/>
      <x:c r="M479" s="10" t="str"/>
      <x:c r="N479" s="10" t="str"/>
    </x:row>
    <x:row r="480">
      <x:c r="A480" s="10" t="str">
        <x:v>LOC126354256</x:v>
      </x:c>
      <x:c r="B480" s="10" t="str">
        <x:v>beta-1,3-glucan-binding protein-like</x:v>
      </x:c>
      <x:c r="C480" s="19" t="str">
        <x:f>IF(COUNTIF('Colleague 115'!$A$2:$A$116,A480)&gt;0,"Yes","No")</x:f>
        <x:v>No</x:v>
      </x:c>
      <x:c r="D480" s="19" t="str">
        <x:f>IF(COUNTIF('Volcano 402'!$A$2:$A$403,A480)&gt;0,"Yes","No")</x:f>
        <x:v>Yes</x:v>
      </x:c>
      <x:c r="E480" s="19" t="str">
        <x:f>IF(COUNTIF('Heatmap 169'!$A$2:$A$170,A480)&gt;0,"Yes","No")</x:f>
        <x:v>No</x:v>
      </x:c>
      <x:c r="F480" s="19" t="n">
        <x:f>COUNTIF(C480:E480,"Yes")</x:f>
        <x:v>1</x:v>
      </x:c>
      <x:c r="G480" s="10" t="str">
        <x:f>IF(F480=3,"All three",IF(F480=2,IF(C480="No","Volcano + heatmap",IF(D480="No","Colleague + heatmap","Colleague + volcano")),IF(C480="Yes","Colleague only",IF(D480="Yes","Volcano only","Heatmap only"))))</x:f>
        <x:v>Volcano only</x:v>
      </x:c>
      <x:c r="H480" s="10" t="str"/>
      <x:c r="I480" s="10" t="str"/>
      <x:c r="J480" s="10" t="str">
        <x:v>Immune-related</x:v>
      </x:c>
      <x:c r="K480" s="10" t="str">
        <x:v>infection_average_all_diets; infection_diet33; infection_diet50; infection_diet83</x:v>
      </x:c>
      <x:c r="L480" s="10" t="str"/>
      <x:c r="M480" s="10" t="str"/>
      <x:c r="N480" s="10" t="str"/>
    </x:row>
    <x:row r="481">
      <x:c r="A481" s="10" t="str">
        <x:v>LOC126354270</x:v>
      </x:c>
      <x:c r="B481" s="10" t="str">
        <x:v>serine-type endopeptidase activity. It is involved in the biological process described with proteolysis</x:v>
      </x:c>
      <x:c r="C481" s="19" t="str">
        <x:f>IF(COUNTIF('Colleague 115'!$A$2:$A$116,A481)&gt;0,"Yes","No")</x:f>
        <x:v>No</x:v>
      </x:c>
      <x:c r="D481" s="19" t="str">
        <x:f>IF(COUNTIF('Volcano 402'!$A$2:$A$403,A481)&gt;0,"Yes","No")</x:f>
        <x:v>No</x:v>
      </x:c>
      <x:c r="E481" s="19" t="str">
        <x:f>IF(COUNTIF('Heatmap 169'!$A$2:$A$170,A481)&gt;0,"Yes","No")</x:f>
        <x:v>Yes</x:v>
      </x:c>
      <x:c r="F481" s="19" t="n">
        <x:f>COUNTIF(C481:E481,"Yes")</x:f>
        <x:v>1</x:v>
      </x:c>
      <x:c r="G481" s="10" t="str">
        <x:f>IF(F481=3,"All three",IF(F481=2,IF(C481="No","Volcano + heatmap",IF(D481="No","Colleague + heatmap","Colleague + volcano")),IF(C481="Yes","Colleague only",IF(D481="Yes","Volcano only","Heatmap only"))))</x:f>
        <x:v>Heatmap only</x:v>
      </x:c>
      <x:c r="H481" s="10" t="str"/>
      <x:c r="I481" s="10" t="str"/>
      <x:c r="J481" s="10" t="str"/>
      <x:c r="K481" s="10" t="str"/>
      <x:c r="L481" s="10" t="str">
        <x:v>Functional candidate</x:v>
      </x:c>
      <x:c r="M481" s="10" t="str">
        <x:v>Immune-related</x:v>
      </x:c>
      <x:c r="N481" s="10" t="str">
        <x:v>Not DEG</x:v>
      </x:c>
    </x:row>
    <x:row r="482">
      <x:c r="A482" s="10" t="str">
        <x:v>LOC126354316</x:v>
      </x:c>
      <x:c r="B482" s="10" t="str">
        <x:v>cholinesterase-like</x:v>
      </x:c>
      <x:c r="C482" s="19" t="str">
        <x:f>IF(COUNTIF('Colleague 115'!$A$2:$A$116,A482)&gt;0,"Yes","No")</x:f>
        <x:v>No</x:v>
      </x:c>
      <x:c r="D482" s="19" t="str">
        <x:f>IF(COUNTIF('Volcano 402'!$A$2:$A$403,A482)&gt;0,"Yes","No")</x:f>
        <x:v>Yes</x:v>
      </x:c>
      <x:c r="E482" s="19" t="str">
        <x:f>IF(COUNTIF('Heatmap 169'!$A$2:$A$170,A482)&gt;0,"Yes","No")</x:f>
        <x:v>Yes</x:v>
      </x:c>
      <x:c r="F482" s="19" t="n">
        <x:f>COUNTIF(C482:E482,"Yes")</x:f>
        <x:v>2</x:v>
      </x:c>
      <x:c r="G482" s="10" t="str">
        <x:f>IF(F482=3,"All three",IF(F482=2,IF(C482="No","Volcano + heatmap",IF(D482="No","Colleague + heatmap","Colleague + volcano")),IF(C482="Yes","Colleague only",IF(D482="Yes","Volcano only","Heatmap only"))))</x:f>
        <x:v>Volcano + heatmap</x:v>
      </x:c>
      <x:c r="H482" s="10" t="str"/>
      <x:c r="I482" s="10" t="str"/>
      <x:c r="J482" s="10" t="str">
        <x:v>Lipid synthesis / metabolism</x:v>
      </x:c>
      <x:c r="K482" s="10" t="str">
        <x:v>infection_average_all_diets</x:v>
      </x:c>
      <x:c r="L482" s="10" t="str">
        <x:v>Functional candidate</x:v>
      </x:c>
      <x:c r="M482" s="10" t="str">
        <x:v>Nutrition/metabolism</x:v>
      </x:c>
      <x:c r="N482" s="10" t="str">
        <x:v>Not DEG</x:v>
      </x:c>
    </x:row>
    <x:row r="483">
      <x:c r="A483" s="10" t="str">
        <x:v>LOC126354365</x:v>
      </x:c>
      <x:c r="B483" s="10" t="str">
        <x:v>juvenile hormone esterase-like</x:v>
      </x:c>
      <x:c r="C483" s="19" t="str">
        <x:f>IF(COUNTIF('Colleague 115'!$A$2:$A$116,A483)&gt;0,"Yes","No")</x:f>
        <x:v>No</x:v>
      </x:c>
      <x:c r="D483" s="19" t="str">
        <x:f>IF(COUNTIF('Volcano 402'!$A$2:$A$403,A483)&gt;0,"Yes","No")</x:f>
        <x:v>Yes</x:v>
      </x:c>
      <x:c r="E483" s="19" t="str">
        <x:f>IF(COUNTIF('Heatmap 169'!$A$2:$A$170,A483)&gt;0,"Yes","No")</x:f>
        <x:v>No</x:v>
      </x:c>
      <x:c r="F483" s="19" t="n">
        <x:f>COUNTIF(C483:E483,"Yes")</x:f>
        <x:v>1</x:v>
      </x:c>
      <x:c r="G483" s="10" t="str">
        <x:f>IF(F483=3,"All three",IF(F483=2,IF(C483="No","Volcano + heatmap",IF(D483="No","Colleague + heatmap","Colleague + volcano")),IF(C483="Yes","Colleague only",IF(D483="Yes","Volcano only","Heatmap only"))))</x:f>
        <x:v>Volcano only</x:v>
      </x:c>
      <x:c r="H483" s="10" t="str"/>
      <x:c r="I483" s="10" t="str"/>
      <x:c r="J483" s="10" t="str">
        <x:v>Lipid synthesis / metabolism</x:v>
      </x:c>
      <x:c r="K483" s="10" t="str">
        <x:v>control_diet83_vs33; infection_diet83</x:v>
      </x:c>
      <x:c r="L483" s="10" t="str"/>
      <x:c r="M483" s="10" t="str"/>
      <x:c r="N483" s="10" t="str"/>
    </x:row>
    <x:row r="484">
      <x:c r="A484" s="10" t="str">
        <x:v>LOC126354378</x:v>
      </x:c>
      <x:c r="B484" s="10" t="str">
        <x:v>cytochrome P450 4g15-like</x:v>
      </x:c>
      <x:c r="C484" s="19" t="str">
        <x:f>IF(COUNTIF('Colleague 115'!$A$2:$A$116,A484)&gt;0,"Yes","No")</x:f>
        <x:v>No</x:v>
      </x:c>
      <x:c r="D484" s="19" t="str">
        <x:f>IF(COUNTIF('Volcano 402'!$A$2:$A$403,A484)&gt;0,"Yes","No")</x:f>
        <x:v>Yes</x:v>
      </x:c>
      <x:c r="E484" s="19" t="str">
        <x:f>IF(COUNTIF('Heatmap 169'!$A$2:$A$170,A484)&gt;0,"Yes","No")</x:f>
        <x:v>No</x:v>
      </x:c>
      <x:c r="F484" s="19" t="n">
        <x:f>COUNTIF(C484:E484,"Yes")</x:f>
        <x:v>1</x:v>
      </x:c>
      <x:c r="G484" s="10" t="str">
        <x:f>IF(F484=3,"All three",IF(F484=2,IF(C484="No","Volcano + heatmap",IF(D484="No","Colleague + heatmap","Colleague + volcano")),IF(C484="Yes","Colleague only",IF(D484="Yes","Volcano only","Heatmap only"))))</x:f>
        <x:v>Volcano only</x:v>
      </x:c>
      <x:c r="H484" s="10" t="str"/>
      <x:c r="I484" s="10" t="str"/>
      <x:c r="J484" s="10" t="str">
        <x:v>Detoxification / stress</x:v>
      </x:c>
      <x:c r="K484" s="10" t="str">
        <x:v>infection_diet50</x:v>
      </x:c>
      <x:c r="L484" s="10" t="str"/>
      <x:c r="M484" s="10" t="str"/>
      <x:c r="N484" s="10" t="str"/>
    </x:row>
    <x:row r="485">
      <x:c r="A485" s="10" t="str">
        <x:v>LOC126354407</x:v>
      </x:c>
      <x:c r="B485" s="10" t="str">
        <x:v>juvenile hormone esterase-like</x:v>
      </x:c>
      <x:c r="C485" s="19" t="str">
        <x:f>IF(COUNTIF('Colleague 115'!$A$2:$A$116,A485)&gt;0,"Yes","No")</x:f>
        <x:v>No</x:v>
      </x:c>
      <x:c r="D485" s="19" t="str">
        <x:f>IF(COUNTIF('Volcano 402'!$A$2:$A$403,A485)&gt;0,"Yes","No")</x:f>
        <x:v>Yes</x:v>
      </x:c>
      <x:c r="E485" s="19" t="str">
        <x:f>IF(COUNTIF('Heatmap 169'!$A$2:$A$170,A485)&gt;0,"Yes","No")</x:f>
        <x:v>No</x:v>
      </x:c>
      <x:c r="F485" s="19" t="n">
        <x:f>COUNTIF(C485:E485,"Yes")</x:f>
        <x:v>1</x:v>
      </x:c>
      <x:c r="G485" s="10" t="str">
        <x:f>IF(F485=3,"All three",IF(F485=2,IF(C485="No","Volcano + heatmap",IF(D485="No","Colleague + heatmap","Colleague + volcano")),IF(C485="Yes","Colleague only",IF(D485="Yes","Volcano only","Heatmap only"))))</x:f>
        <x:v>Volcano only</x:v>
      </x:c>
      <x:c r="H485" s="10" t="str"/>
      <x:c r="I485" s="10" t="str"/>
      <x:c r="J485" s="10" t="str">
        <x:v>Lipid synthesis / metabolism</x:v>
      </x:c>
      <x:c r="K485" s="10" t="str">
        <x:v>infection_average_all_diets; infection_diet33; infection_diet50</x:v>
      </x:c>
      <x:c r="L485" s="10" t="str"/>
      <x:c r="M485" s="10" t="str"/>
      <x:c r="N485" s="10" t="str"/>
    </x:row>
    <x:row r="486">
      <x:c r="A486" s="10" t="str">
        <x:v>LOC126354439</x:v>
      </x:c>
      <x:c r="B486" s="10" t="str">
        <x:v>superoxide dismutase [Cu-Zn]-like</x:v>
      </x:c>
      <x:c r="C486" s="19" t="str">
        <x:f>IF(COUNTIF('Colleague 115'!$A$2:$A$116,A486)&gt;0,"Yes","No")</x:f>
        <x:v>No</x:v>
      </x:c>
      <x:c r="D486" s="19" t="str">
        <x:f>IF(COUNTIF('Volcano 402'!$A$2:$A$403,A486)&gt;0,"Yes","No")</x:f>
        <x:v>Yes</x:v>
      </x:c>
      <x:c r="E486" s="19" t="str">
        <x:f>IF(COUNTIF('Heatmap 169'!$A$2:$A$170,A486)&gt;0,"Yes","No")</x:f>
        <x:v>No</x:v>
      </x:c>
      <x:c r="F486" s="19" t="n">
        <x:f>COUNTIF(C486:E486,"Yes")</x:f>
        <x:v>1</x:v>
      </x:c>
      <x:c r="G486" s="10" t="str">
        <x:f>IF(F486=3,"All three",IF(F486=2,IF(C486="No","Volcano + heatmap",IF(D486="No","Colleague + heatmap","Colleague + volcano")),IF(C486="Yes","Colleague only",IF(D486="Yes","Volcano only","Heatmap only"))))</x:f>
        <x:v>Volcano only</x:v>
      </x:c>
      <x:c r="H486" s="10" t="str"/>
      <x:c r="I486" s="10" t="str"/>
      <x:c r="J486" s="10" t="str">
        <x:v>Detoxification / stress</x:v>
      </x:c>
      <x:c r="K486" s="10" t="str">
        <x:v>infection_diet50</x:v>
      </x:c>
      <x:c r="L486" s="10" t="str"/>
      <x:c r="M486" s="10" t="str"/>
      <x:c r="N486" s="10" t="str"/>
    </x:row>
    <x:row r="487">
      <x:c r="A487" s="10" t="str">
        <x:v>LOC126354457</x:v>
      </x:c>
      <x:c r="B487" s="10" t="str">
        <x:v>pyrethroid hydrolase Ces2e-like</x:v>
      </x:c>
      <x:c r="C487" s="19" t="str">
        <x:f>IF(COUNTIF('Colleague 115'!$A$2:$A$116,A487)&gt;0,"Yes","No")</x:f>
        <x:v>No</x:v>
      </x:c>
      <x:c r="D487" s="19" t="str">
        <x:f>IF(COUNTIF('Volcano 402'!$A$2:$A$403,A487)&gt;0,"Yes","No")</x:f>
        <x:v>Yes</x:v>
      </x:c>
      <x:c r="E487" s="19" t="str">
        <x:f>IF(COUNTIF('Heatmap 169'!$A$2:$A$170,A487)&gt;0,"Yes","No")</x:f>
        <x:v>Yes</x:v>
      </x:c>
      <x:c r="F487" s="19" t="n">
        <x:f>COUNTIF(C487:E487,"Yes")</x:f>
        <x:v>2</x:v>
      </x:c>
      <x:c r="G487" s="10" t="str">
        <x:f>IF(F487=3,"All three",IF(F487=2,IF(C487="No","Volcano + heatmap",IF(D487="No","Colleague + heatmap","Colleague + volcano")),IF(C487="Yes","Colleague only",IF(D487="Yes","Volcano only","Heatmap only"))))</x:f>
        <x:v>Volcano + heatmap</x:v>
      </x:c>
      <x:c r="H487" s="10" t="str"/>
      <x:c r="I487" s="10" t="str"/>
      <x:c r="J487" s="10" t="str">
        <x:v>Lipid synthesis / metabolism</x:v>
      </x:c>
      <x:c r="K487" s="10" t="str">
        <x:v>infection_average_all_diets</x:v>
      </x:c>
      <x:c r="L487" s="10" t="str">
        <x:v>Functional candidate</x:v>
      </x:c>
      <x:c r="M487" s="10" t="str">
        <x:v>Nutrition/metabolism</x:v>
      </x:c>
      <x:c r="N487" s="10" t="str">
        <x:v>Not DEG</x:v>
      </x:c>
    </x:row>
    <x:row r="488">
      <x:c r="A488" s="10" t="str">
        <x:v>LOC126354459</x:v>
      </x:c>
      <x:c r="B488" s="10" t="str">
        <x:v>para-nitrobenzyl esterase-like</x:v>
      </x:c>
      <x:c r="C488" s="19" t="str">
        <x:f>IF(COUNTIF('Colleague 115'!$A$2:$A$116,A488)&gt;0,"Yes","No")</x:f>
        <x:v>No</x:v>
      </x:c>
      <x:c r="D488" s="19" t="str">
        <x:f>IF(COUNTIF('Volcano 402'!$A$2:$A$403,A488)&gt;0,"Yes","No")</x:f>
        <x:v>Yes</x:v>
      </x:c>
      <x:c r="E488" s="19" t="str">
        <x:f>IF(COUNTIF('Heatmap 169'!$A$2:$A$170,A488)&gt;0,"Yes","No")</x:f>
        <x:v>No</x:v>
      </x:c>
      <x:c r="F488" s="19" t="n">
        <x:f>COUNTIF(C488:E488,"Yes")</x:f>
        <x:v>1</x:v>
      </x:c>
      <x:c r="G488" s="10" t="str">
        <x:f>IF(F488=3,"All three",IF(F488=2,IF(C488="No","Volcano + heatmap",IF(D488="No","Colleague + heatmap","Colleague + volcano")),IF(C488="Yes","Colleague only",IF(D488="Yes","Volcano only","Heatmap only"))))</x:f>
        <x:v>Volcano only</x:v>
      </x:c>
      <x:c r="H488" s="10" t="str"/>
      <x:c r="I488" s="10" t="str"/>
      <x:c r="J488" s="10" t="str">
        <x:v>Lipid synthesis / metabolism</x:v>
      </x:c>
      <x:c r="K488" s="10" t="str">
        <x:v>infection_average_all_diets; infection_diet50</x:v>
      </x:c>
      <x:c r="L488" s="10" t="str"/>
      <x:c r="M488" s="10" t="str"/>
      <x:c r="N488" s="10" t="str"/>
    </x:row>
    <x:row r="489">
      <x:c r="A489" s="10" t="str">
        <x:v>LOC126354477</x:v>
      </x:c>
      <x:c r="B489" s="10" t="str">
        <x:v>ABC transporter G family member 23</x:v>
      </x:c>
      <x:c r="C489" s="19" t="str">
        <x:f>IF(COUNTIF('Colleague 115'!$A$2:$A$116,A489)&gt;0,"Yes","No")</x:f>
        <x:v>No</x:v>
      </x:c>
      <x:c r="D489" s="19" t="str">
        <x:f>IF(COUNTIF('Volcano 402'!$A$2:$A$403,A489)&gt;0,"Yes","No")</x:f>
        <x:v>Yes</x:v>
      </x:c>
      <x:c r="E489" s="19" t="str">
        <x:f>IF(COUNTIF('Heatmap 169'!$A$2:$A$170,A489)&gt;0,"Yes","No")</x:f>
        <x:v>No</x:v>
      </x:c>
      <x:c r="F489" s="19" t="n">
        <x:f>COUNTIF(C489:E489,"Yes")</x:f>
        <x:v>1</x:v>
      </x:c>
      <x:c r="G489" s="10" t="str">
        <x:f>IF(F489=3,"All three",IF(F489=2,IF(C489="No","Volcano + heatmap",IF(D489="No","Colleague + heatmap","Colleague + volcano")),IF(C489="Yes","Colleague only",IF(D489="Yes","Volcano only","Heatmap only"))))</x:f>
        <x:v>Volcano only</x:v>
      </x:c>
      <x:c r="H489" s="10" t="str"/>
      <x:c r="I489" s="10" t="str"/>
      <x:c r="J489" s="10" t="str">
        <x:v>Detoxification / stress</x:v>
      </x:c>
      <x:c r="K489" s="10" t="str">
        <x:v>infection_average_all_diets; infection_diet50; infection_diet83</x:v>
      </x:c>
      <x:c r="L489" s="10" t="str"/>
      <x:c r="M489" s="10" t="str"/>
      <x:c r="N489" s="10" t="str"/>
    </x:row>
    <x:row r="490">
      <x:c r="A490" s="10" t="str">
        <x:v>LOC126354485</x:v>
      </x:c>
      <x:c r="B490" s="10" t="str">
        <x:v>cytochrome P450 4g15-like</x:v>
      </x:c>
      <x:c r="C490" s="19" t="str">
        <x:f>IF(COUNTIF('Colleague 115'!$A$2:$A$116,A490)&gt;0,"Yes","No")</x:f>
        <x:v>No</x:v>
      </x:c>
      <x:c r="D490" s="19" t="str">
        <x:f>IF(COUNTIF('Volcano 402'!$A$2:$A$403,A490)&gt;0,"Yes","No")</x:f>
        <x:v>Yes</x:v>
      </x:c>
      <x:c r="E490" s="19" t="str">
        <x:f>IF(COUNTIF('Heatmap 169'!$A$2:$A$170,A490)&gt;0,"Yes","No")</x:f>
        <x:v>Yes</x:v>
      </x:c>
      <x:c r="F490" s="19" t="n">
        <x:f>COUNTIF(C490:E490,"Yes")</x:f>
        <x:v>2</x:v>
      </x:c>
      <x:c r="G490" s="10" t="str">
        <x:f>IF(F490=3,"All three",IF(F490=2,IF(C490="No","Volcano + heatmap",IF(D490="No","Colleague + heatmap","Colleague + volcano")),IF(C490="Yes","Colleague only",IF(D490="Yes","Volcano only","Heatmap only"))))</x:f>
        <x:v>Volcano + heatmap</x:v>
      </x:c>
      <x:c r="H490" s="10" t="str"/>
      <x:c r="I490" s="10" t="str"/>
      <x:c r="J490" s="10" t="str">
        <x:v>Detoxification / stress</x:v>
      </x:c>
      <x:c r="K490" s="10" t="str">
        <x:v>infection_average_all_diets; infection_diet50</x:v>
      </x:c>
      <x:c r="L490" s="10" t="str">
        <x:v>Functional candidate</x:v>
      </x:c>
      <x:c r="M490" s="10" t="str">
        <x:v>Detoxification/stress</x:v>
      </x:c>
      <x:c r="N490" s="10" t="str">
        <x:v>DEG</x:v>
      </x:c>
    </x:row>
    <x:row r="491">
      <x:c r="A491" s="10" t="str">
        <x:v>LOC126354504</x:v>
      </x:c>
      <x:c r="B491" s="10" t="str">
        <x:v>NADH-ubiquinone oxidoreductase chain 5-like</x:v>
      </x:c>
      <x:c r="C491" s="19" t="str">
        <x:f>IF(COUNTIF('Colleague 115'!$A$2:$A$116,A491)&gt;0,"Yes","No")</x:f>
        <x:v>No</x:v>
      </x:c>
      <x:c r="D491" s="19" t="str">
        <x:f>IF(COUNTIF('Volcano 402'!$A$2:$A$403,A491)&gt;0,"Yes","No")</x:f>
        <x:v>Yes</x:v>
      </x:c>
      <x:c r="E491" s="19" t="str">
        <x:f>IF(COUNTIF('Heatmap 169'!$A$2:$A$170,A491)&gt;0,"Yes","No")</x:f>
        <x:v>No</x:v>
      </x:c>
      <x:c r="F491" s="19" t="n">
        <x:f>COUNTIF(C491:E491,"Yes")</x:f>
        <x:v>1</x:v>
      </x:c>
      <x:c r="G491" s="10" t="str">
        <x:f>IF(F491=3,"All three",IF(F491=2,IF(C491="No","Volcano + heatmap",IF(D491="No","Colleague + heatmap","Colleague + volcano")),IF(C491="Yes","Colleague only",IF(D491="Yes","Volcano only","Heatmap only"))))</x:f>
        <x:v>Volcano only</x:v>
      </x:c>
      <x:c r="H491" s="10" t="str"/>
      <x:c r="I491" s="10" t="str"/>
      <x:c r="J491" s="10" t="str">
        <x:v>Detoxification / stress</x:v>
      </x:c>
      <x:c r="K491" s="10" t="str">
        <x:v>infection_diet33</x:v>
      </x:c>
      <x:c r="L491" s="10" t="str"/>
      <x:c r="M491" s="10" t="str"/>
      <x:c r="N491" s="10" t="str"/>
    </x:row>
    <x:row r="492">
      <x:c r="A492" s="10" t="str">
        <x:v>LOC126354547</x:v>
      </x:c>
      <x:c r="B492" s="10" t="str"/>
      <x:c r="C492" s="19" t="str">
        <x:f>IF(COUNTIF('Colleague 115'!$A$2:$A$116,A492)&gt;0,"Yes","No")</x:f>
        <x:v>No</x:v>
      </x:c>
      <x:c r="D492" s="19" t="str">
        <x:f>IF(COUNTIF('Volcano 402'!$A$2:$A$403,A492)&gt;0,"Yes","No")</x:f>
        <x:v>No</x:v>
      </x:c>
      <x:c r="E492" s="19" t="str">
        <x:f>IF(COUNTIF('Heatmap 169'!$A$2:$A$170,A492)&gt;0,"Yes","No")</x:f>
        <x:v>Yes</x:v>
      </x:c>
      <x:c r="F492" s="19" t="n">
        <x:f>COUNTIF(C492:E492,"Yes")</x:f>
        <x:v>1</x:v>
      </x:c>
      <x:c r="G492" s="10" t="str">
        <x:f>IF(F492=3,"All three",IF(F492=2,IF(C492="No","Volcano + heatmap",IF(D492="No","Colleague + heatmap","Colleague + volcano")),IF(C492="Yes","Colleague only",IF(D492="Yes","Volcano only","Heatmap only"))))</x:f>
        <x:v>Heatmap only</x:v>
      </x:c>
      <x:c r="H492" s="10" t="str"/>
      <x:c r="I492" s="10" t="str"/>
      <x:c r="J492" s="10" t="str"/>
      <x:c r="K492" s="10" t="str"/>
      <x:c r="L492" s="10" t="str">
        <x:v>Top DEG</x:v>
      </x:c>
      <x:c r="M492" s="10" t="str">
        <x:v>Other strong DEG</x:v>
      </x:c>
      <x:c r="N492" s="10" t="str">
        <x:v>DEG</x:v>
      </x:c>
    </x:row>
    <x:row r="493">
      <x:c r="A493" s="10" t="str">
        <x:v>LOC126354579</x:v>
      </x:c>
      <x:c r="B493" s="10" t="str">
        <x:v>Belongs to the major facilitator superfamily. Sugar transporter (TC 2.A.1.1) family</x:v>
      </x:c>
      <x:c r="C493" s="19" t="str">
        <x:f>IF(COUNTIF('Colleague 115'!$A$2:$A$116,A493)&gt;0,"Yes","No")</x:f>
        <x:v>No</x:v>
      </x:c>
      <x:c r="D493" s="19" t="str">
        <x:f>IF(COUNTIF('Volcano 402'!$A$2:$A$403,A493)&gt;0,"Yes","No")</x:f>
        <x:v>No</x:v>
      </x:c>
      <x:c r="E493" s="19" t="str">
        <x:f>IF(COUNTIF('Heatmap 169'!$A$2:$A$170,A493)&gt;0,"Yes","No")</x:f>
        <x:v>Yes</x:v>
      </x:c>
      <x:c r="F493" s="19" t="n">
        <x:f>COUNTIF(C493:E493,"Yes")</x:f>
        <x:v>1</x:v>
      </x:c>
      <x:c r="G493" s="10" t="str">
        <x:f>IF(F493=3,"All three",IF(F493=2,IF(C493="No","Volcano + heatmap",IF(D493="No","Colleague + heatmap","Colleague + volcano")),IF(C493="Yes","Colleague only",IF(D493="Yes","Volcano only","Heatmap only"))))</x:f>
        <x:v>Heatmap only</x:v>
      </x:c>
      <x:c r="H493" s="10" t="str"/>
      <x:c r="I493" s="10" t="str"/>
      <x:c r="J493" s="10" t="str"/>
      <x:c r="K493" s="10" t="str"/>
      <x:c r="L493" s="10" t="str">
        <x:v>Top DEG</x:v>
      </x:c>
      <x:c r="M493" s="10" t="str">
        <x:v>Nutrition/metabolism</x:v>
      </x:c>
      <x:c r="N493" s="10" t="str">
        <x:v>DEG</x:v>
      </x:c>
    </x:row>
    <x:row r="494">
      <x:c r="A494" s="10" t="str">
        <x:v>LOC126354582</x:v>
      </x:c>
      <x:c r="B494" s="10" t="str">
        <x:v>cationic amino acid transporter 4</x:v>
      </x:c>
      <x:c r="C494" s="19" t="str">
        <x:f>IF(COUNTIF('Colleague 115'!$A$2:$A$116,A494)&gt;0,"Yes","No")</x:f>
        <x:v>Yes</x:v>
      </x:c>
      <x:c r="D494" s="19" t="str">
        <x:f>IF(COUNTIF('Volcano 402'!$A$2:$A$403,A494)&gt;0,"Yes","No")</x:f>
        <x:v>No</x:v>
      </x:c>
      <x:c r="E494" s="19" t="str">
        <x:f>IF(COUNTIF('Heatmap 169'!$A$2:$A$170,A494)&gt;0,"Yes","No")</x:f>
        <x:v>No</x:v>
      </x:c>
      <x:c r="F494" s="19" t="n">
        <x:f>COUNTIF(C494:E494,"Yes")</x:f>
        <x:v>1</x:v>
      </x:c>
      <x:c r="G494" s="10" t="str">
        <x:f>IF(F494=3,"All three",IF(F494=2,IF(C494="No","Volcano + heatmap",IF(D494="No","Colleague + heatmap","Colleague + volcano")),IF(C494="Yes","Colleague only",IF(D494="Yes","Volcano only","Heatmap only"))))</x:f>
        <x:v>Colleague only</x:v>
      </x:c>
      <x:c r="H494" s="10" t="str">
        <x:v>Nitrogen, Amino Acid Transport &amp; Metabolism</x:v>
      </x:c>
      <x:c r="I494" s="10" t="str">
        <x:v>Cationic &amp; Neutral Amino Acid Transporters</x:v>
      </x:c>
      <x:c r="J494" s="10" t="str"/>
      <x:c r="K494" s="10" t="str"/>
      <x:c r="L494" s="10" t="str"/>
      <x:c r="M494" s="10" t="str"/>
      <x:c r="N494" s="10" t="str"/>
    </x:row>
    <x:row r="495">
      <x:c r="A495" s="10" t="str">
        <x:v>LOC126354587</x:v>
      </x:c>
      <x:c r="B495" s="10" t="str">
        <x:v>nucleolar protein dao-5-like</x:v>
      </x:c>
      <x:c r="C495" s="19" t="str">
        <x:f>IF(COUNTIF('Colleague 115'!$A$2:$A$116,A495)&gt;0,"Yes","No")</x:f>
        <x:v>Yes</x:v>
      </x:c>
      <x:c r="D495" s="19" t="str">
        <x:f>IF(COUNTIF('Volcano 402'!$A$2:$A$403,A495)&gt;0,"Yes","No")</x:f>
        <x:v>No</x:v>
      </x:c>
      <x:c r="E495" s="19" t="str">
        <x:f>IF(COUNTIF('Heatmap 169'!$A$2:$A$170,A495)&gt;0,"Yes","No")</x:f>
        <x:v>No</x:v>
      </x:c>
      <x:c r="F495" s="19" t="n">
        <x:f>COUNTIF(C495:E495,"Yes")</x:f>
        <x:v>1</x:v>
      </x:c>
      <x:c r="G495" s="10" t="str">
        <x:f>IF(F495=3,"All three",IF(F495=2,IF(C495="No","Volcano + heatmap",IF(D495="No","Colleague + heatmap","Colleague + volcano")),IF(C495="Yes","Colleague only",IF(D495="Yes","Volcano only","Heatmap only"))))</x:f>
        <x:v>Colleague only</x:v>
      </x:c>
      <x:c r="H495" s="10" t="str">
        <x:v>Protein Synthesis &amp; Translation</x:v>
      </x:c>
      <x:c r="I495" s="10" t="str">
        <x:v>Ribosomal Structural Proteins &amp; Biogenesis</x:v>
      </x:c>
      <x:c r="J495" s="10" t="str"/>
      <x:c r="K495" s="10" t="str"/>
      <x:c r="L495" s="10" t="str"/>
      <x:c r="M495" s="10" t="str"/>
      <x:c r="N495" s="10" t="str"/>
    </x:row>
    <x:row r="496">
      <x:c r="A496" s="10" t="str">
        <x:v>LOC126354588</x:v>
      </x:c>
      <x:c r="B496" s="10" t="str">
        <x:v>ribonucleoside-diphosphate reductase subunit M2 B-like</x:v>
      </x:c>
      <x:c r="C496" s="19" t="str">
        <x:f>IF(COUNTIF('Colleague 115'!$A$2:$A$116,A496)&gt;0,"Yes","No")</x:f>
        <x:v>No</x:v>
      </x:c>
      <x:c r="D496" s="19" t="str">
        <x:f>IF(COUNTIF('Volcano 402'!$A$2:$A$403,A496)&gt;0,"Yes","No")</x:f>
        <x:v>Yes</x:v>
      </x:c>
      <x:c r="E496" s="19" t="str">
        <x:f>IF(COUNTIF('Heatmap 169'!$A$2:$A$170,A496)&gt;0,"Yes","No")</x:f>
        <x:v>No</x:v>
      </x:c>
      <x:c r="F496" s="19" t="n">
        <x:f>COUNTIF(C496:E496,"Yes")</x:f>
        <x:v>1</x:v>
      </x:c>
      <x:c r="G496" s="10" t="str">
        <x:f>IF(F496=3,"All three",IF(F496=2,IF(C496="No","Volcano + heatmap",IF(D496="No","Colleague + heatmap","Colleague + volcano")),IF(C496="Yes","Colleague only",IF(D496="Yes","Volcano only","Heatmap only"))))</x:f>
        <x:v>Volcano only</x:v>
      </x:c>
      <x:c r="H496" s="10" t="str"/>
      <x:c r="I496" s="10" t="str"/>
      <x:c r="J496" s="10" t="str">
        <x:v>Detoxification / stress</x:v>
      </x:c>
      <x:c r="K496" s="10" t="str">
        <x:v>infection_diet33</x:v>
      </x:c>
      <x:c r="L496" s="10" t="str"/>
      <x:c r="M496" s="10" t="str"/>
      <x:c r="N496" s="10" t="str"/>
    </x:row>
    <x:row r="497">
      <x:c r="A497" s="10" t="str">
        <x:v>LOC126354620</x:v>
      </x:c>
      <x:c r="B497" s="10" t="str">
        <x:v>putative fatty acyl-CoA reductase CG5065</x:v>
      </x:c>
      <x:c r="C497" s="19" t="str">
        <x:f>IF(COUNTIF('Colleague 115'!$A$2:$A$116,A497)&gt;0,"Yes","No")</x:f>
        <x:v>No</x:v>
      </x:c>
      <x:c r="D497" s="19" t="str">
        <x:f>IF(COUNTIF('Volcano 402'!$A$2:$A$403,A497)&gt;0,"Yes","No")</x:f>
        <x:v>Yes</x:v>
      </x:c>
      <x:c r="E497" s="19" t="str">
        <x:f>IF(COUNTIF('Heatmap 169'!$A$2:$A$170,A497)&gt;0,"Yes","No")</x:f>
        <x:v>No</x:v>
      </x:c>
      <x:c r="F497" s="19" t="n">
        <x:f>COUNTIF(C497:E497,"Yes")</x:f>
        <x:v>1</x:v>
      </x:c>
      <x:c r="G497" s="10" t="str">
        <x:f>IF(F497=3,"All three",IF(F497=2,IF(C497="No","Volcano + heatmap",IF(D497="No","Colleague + heatmap","Colleague + volcano")),IF(C497="Yes","Colleague only",IF(D497="Yes","Volcano only","Heatmap only"))))</x:f>
        <x:v>Volcano only</x:v>
      </x:c>
      <x:c r="H497" s="10" t="str"/>
      <x:c r="I497" s="10" t="str"/>
      <x:c r="J497" s="10" t="str">
        <x:v>Lipid synthesis / metabolism</x:v>
      </x:c>
      <x:c r="K497" s="10" t="str">
        <x:v>infection_average_all_diets; infection_diet33; infection_diet50</x:v>
      </x:c>
      <x:c r="L497" s="10" t="str"/>
      <x:c r="M497" s="10" t="str"/>
      <x:c r="N497" s="10" t="str"/>
    </x:row>
    <x:row r="498">
      <x:c r="A498" s="10" t="str">
        <x:v>LOC126354648</x:v>
      </x:c>
      <x:c r="B498" s="10" t="str">
        <x:v>40S ribosomal protein S2</x:v>
      </x:c>
      <x:c r="C498" s="19" t="str">
        <x:f>IF(COUNTIF('Colleague 115'!$A$2:$A$116,A498)&gt;0,"Yes","No")</x:f>
        <x:v>No</x:v>
      </x:c>
      <x:c r="D498" s="19" t="str">
        <x:f>IF(COUNTIF('Volcano 402'!$A$2:$A$403,A498)&gt;0,"Yes","No")</x:f>
        <x:v>Yes</x:v>
      </x:c>
      <x:c r="E498" s="19" t="str">
        <x:f>IF(COUNTIF('Heatmap 169'!$A$2:$A$170,A498)&gt;0,"Yes","No")</x:f>
        <x:v>No</x:v>
      </x:c>
      <x:c r="F498" s="19" t="n">
        <x:f>COUNTIF(C498:E498,"Yes")</x:f>
        <x:v>1</x:v>
      </x:c>
      <x:c r="G498" s="10" t="str">
        <x:f>IF(F498=3,"All three",IF(F498=2,IF(C498="No","Volcano + heatmap",IF(D498="No","Colleague + heatmap","Colleague + volcano")),IF(C498="Yes","Colleague only",IF(D498="Yes","Volcano only","Heatmap only"))))</x:f>
        <x:v>Volcano only</x:v>
      </x:c>
      <x:c r="H498" s="10" t="str"/>
      <x:c r="I498" s="10" t="str"/>
      <x:c r="J498" s="10" t="str">
        <x:v>Protein synthesis / storage</x:v>
      </x:c>
      <x:c r="K498" s="10" t="str">
        <x:v>infection_average_all_diets</x:v>
      </x:c>
      <x:c r="L498" s="10" t="str"/>
      <x:c r="M498" s="10" t="str"/>
      <x:c r="N498" s="10" t="str"/>
    </x:row>
    <x:row r="499">
      <x:c r="A499" s="10" t="str">
        <x:v>LOC126354656</x:v>
      </x:c>
      <x:c r="B499" s="10" t="str">
        <x:v>Vault protein inter-alpha-trypsin domain</x:v>
      </x:c>
      <x:c r="C499" s="19" t="str">
        <x:f>IF(COUNTIF('Colleague 115'!$A$2:$A$116,A499)&gt;0,"Yes","No")</x:f>
        <x:v>No</x:v>
      </x:c>
      <x:c r="D499" s="19" t="str">
        <x:f>IF(COUNTIF('Volcano 402'!$A$2:$A$403,A499)&gt;0,"Yes","No")</x:f>
        <x:v>No</x:v>
      </x:c>
      <x:c r="E499" s="19" t="str">
        <x:f>IF(COUNTIF('Heatmap 169'!$A$2:$A$170,A499)&gt;0,"Yes","No")</x:f>
        <x:v>Yes</x:v>
      </x:c>
      <x:c r="F499" s="19" t="n">
        <x:f>COUNTIF(C499:E499,"Yes")</x:f>
        <x:v>1</x:v>
      </x:c>
      <x:c r="G499" s="10" t="str">
        <x:f>IF(F499=3,"All three",IF(F499=2,IF(C499="No","Volcano + heatmap",IF(D499="No","Colleague + heatmap","Colleague + volcano")),IF(C499="Yes","Colleague only",IF(D499="Yes","Volcano only","Heatmap only"))))</x:f>
        <x:v>Heatmap only</x:v>
      </x:c>
      <x:c r="H499" s="10" t="str"/>
      <x:c r="I499" s="10" t="str"/>
      <x:c r="J499" s="10" t="str"/>
      <x:c r="K499" s="10" t="str"/>
      <x:c r="L499" s="10" t="str">
        <x:v>Functional candidate</x:v>
      </x:c>
      <x:c r="M499" s="10" t="str">
        <x:v>Nutrition/metabolism</x:v>
      </x:c>
      <x:c r="N499" s="10" t="str">
        <x:v>DEG</x:v>
      </x:c>
    </x:row>
    <x:row r="500">
      <x:c r="A500" s="10" t="str">
        <x:v>LOC126354701</x:v>
      </x:c>
      <x:c r="B500" s="10" t="str">
        <x:v>venom carboxylesterase-6-like</x:v>
      </x:c>
      <x:c r="C500" s="19" t="str">
        <x:f>IF(COUNTIF('Colleague 115'!$A$2:$A$116,A500)&gt;0,"Yes","No")</x:f>
        <x:v>No</x:v>
      </x:c>
      <x:c r="D500" s="19" t="str">
        <x:f>IF(COUNTIF('Volcano 402'!$A$2:$A$403,A500)&gt;0,"Yes","No")</x:f>
        <x:v>Yes</x:v>
      </x:c>
      <x:c r="E500" s="19" t="str">
        <x:f>IF(COUNTIF('Heatmap 169'!$A$2:$A$170,A500)&gt;0,"Yes","No")</x:f>
        <x:v>No</x:v>
      </x:c>
      <x:c r="F500" s="19" t="n">
        <x:f>COUNTIF(C500:E500,"Yes")</x:f>
        <x:v>1</x:v>
      </x:c>
      <x:c r="G500" s="10" t="str">
        <x:f>IF(F500=3,"All three",IF(F500=2,IF(C500="No","Volcano + heatmap",IF(D500="No","Colleague + heatmap","Colleague + volcano")),IF(C500="Yes","Colleague only",IF(D500="Yes","Volcano only","Heatmap only"))))</x:f>
        <x:v>Volcano only</x:v>
      </x:c>
      <x:c r="H500" s="10" t="str"/>
      <x:c r="I500" s="10" t="str"/>
      <x:c r="J500" s="10" t="str">
        <x:v>Lipid synthesis / metabolism</x:v>
      </x:c>
      <x:c r="K500" s="10" t="str">
        <x:v>infection_average_all_diets; infection_diet33; infection_diet83</x:v>
      </x:c>
      <x:c r="L500" s="10" t="str"/>
      <x:c r="M500" s="10" t="str"/>
      <x:c r="N500" s="10" t="str"/>
    </x:row>
    <x:row r="501">
      <x:c r="A501" s="10" t="str">
        <x:v>LOC126354702</x:v>
      </x:c>
      <x:c r="B501" s="10" t="str">
        <x:v>juvenile hormone esterase-like</x:v>
      </x:c>
      <x:c r="C501" s="19" t="str">
        <x:f>IF(COUNTIF('Colleague 115'!$A$2:$A$116,A501)&gt;0,"Yes","No")</x:f>
        <x:v>No</x:v>
      </x:c>
      <x:c r="D501" s="19" t="str">
        <x:f>IF(COUNTIF('Volcano 402'!$A$2:$A$403,A501)&gt;0,"Yes","No")</x:f>
        <x:v>Yes</x:v>
      </x:c>
      <x:c r="E501" s="19" t="str">
        <x:f>IF(COUNTIF('Heatmap 169'!$A$2:$A$170,A501)&gt;0,"Yes","No")</x:f>
        <x:v>No</x:v>
      </x:c>
      <x:c r="F501" s="19" t="n">
        <x:f>COUNTIF(C501:E501,"Yes")</x:f>
        <x:v>1</x:v>
      </x:c>
      <x:c r="G501" s="10" t="str">
        <x:f>IF(F501=3,"All three",IF(F501=2,IF(C501="No","Volcano + heatmap",IF(D501="No","Colleague + heatmap","Colleague + volcano")),IF(C501="Yes","Colleague only",IF(D501="Yes","Volcano only","Heatmap only"))))</x:f>
        <x:v>Volcano only</x:v>
      </x:c>
      <x:c r="H501" s="10" t="str"/>
      <x:c r="I501" s="10" t="str"/>
      <x:c r="J501" s="10" t="str">
        <x:v>Lipid synthesis / metabolism</x:v>
      </x:c>
      <x:c r="K501" s="10" t="str">
        <x:v>infection_diet50</x:v>
      </x:c>
      <x:c r="L501" s="10" t="str"/>
      <x:c r="M501" s="10" t="str"/>
      <x:c r="N501" s="10" t="str"/>
    </x:row>
    <x:row r="502">
      <x:c r="A502" s="10" t="str">
        <x:v>LOC126354703</x:v>
      </x:c>
      <x:c r="B502" s="10" t="str">
        <x:v>juvenile hormone esterase-like</x:v>
      </x:c>
      <x:c r="C502" s="19" t="str">
        <x:f>IF(COUNTIF('Colleague 115'!$A$2:$A$116,A502)&gt;0,"Yes","No")</x:f>
        <x:v>No</x:v>
      </x:c>
      <x:c r="D502" s="19" t="str">
        <x:f>IF(COUNTIF('Volcano 402'!$A$2:$A$403,A502)&gt;0,"Yes","No")</x:f>
        <x:v>Yes</x:v>
      </x:c>
      <x:c r="E502" s="19" t="str">
        <x:f>IF(COUNTIF('Heatmap 169'!$A$2:$A$170,A502)&gt;0,"Yes","No")</x:f>
        <x:v>No</x:v>
      </x:c>
      <x:c r="F502" s="19" t="n">
        <x:f>COUNTIF(C502:E502,"Yes")</x:f>
        <x:v>1</x:v>
      </x:c>
      <x:c r="G502" s="10" t="str">
        <x:f>IF(F502=3,"All three",IF(F502=2,IF(C502="No","Volcano + heatmap",IF(D502="No","Colleague + heatmap","Colleague + volcano")),IF(C502="Yes","Colleague only",IF(D502="Yes","Volcano only","Heatmap only"))))</x:f>
        <x:v>Volcano only</x:v>
      </x:c>
      <x:c r="H502" s="10" t="str"/>
      <x:c r="I502" s="10" t="str"/>
      <x:c r="J502" s="10" t="str">
        <x:v>Lipid synthesis / metabolism</x:v>
      </x:c>
      <x:c r="K502" s="10" t="str">
        <x:v>infection_average_all_diets; infection_diet33; infection_diet50</x:v>
      </x:c>
      <x:c r="L502" s="10" t="str"/>
      <x:c r="M502" s="10" t="str"/>
      <x:c r="N502" s="10" t="str"/>
    </x:row>
    <x:row r="503">
      <x:c r="A503" s="10" t="str">
        <x:v>LOC126354705</x:v>
      </x:c>
      <x:c r="B503" s="10" t="str">
        <x:v>juvenile hormone esterase-like</x:v>
      </x:c>
      <x:c r="C503" s="19" t="str">
        <x:f>IF(COUNTIF('Colleague 115'!$A$2:$A$116,A503)&gt;0,"Yes","No")</x:f>
        <x:v>No</x:v>
      </x:c>
      <x:c r="D503" s="19" t="str">
        <x:f>IF(COUNTIF('Volcano 402'!$A$2:$A$403,A503)&gt;0,"Yes","No")</x:f>
        <x:v>Yes</x:v>
      </x:c>
      <x:c r="E503" s="19" t="str">
        <x:f>IF(COUNTIF('Heatmap 169'!$A$2:$A$170,A503)&gt;0,"Yes","No")</x:f>
        <x:v>No</x:v>
      </x:c>
      <x:c r="F503" s="19" t="n">
        <x:f>COUNTIF(C503:E503,"Yes")</x:f>
        <x:v>1</x:v>
      </x:c>
      <x:c r="G503" s="10" t="str">
        <x:f>IF(F503=3,"All three",IF(F503=2,IF(C503="No","Volcano + heatmap",IF(D503="No","Colleague + heatmap","Colleague + volcano")),IF(C503="Yes","Colleague only",IF(D503="Yes","Volcano only","Heatmap only"))))</x:f>
        <x:v>Volcano only</x:v>
      </x:c>
      <x:c r="H503" s="10" t="str"/>
      <x:c r="I503" s="10" t="str"/>
      <x:c r="J503" s="10" t="str">
        <x:v>Lipid synthesis / metabolism</x:v>
      </x:c>
      <x:c r="K503" s="10" t="str">
        <x:v>infection_diet50</x:v>
      </x:c>
      <x:c r="L503" s="10" t="str"/>
      <x:c r="M503" s="10" t="str"/>
      <x:c r="N503" s="10" t="str"/>
    </x:row>
    <x:row r="504">
      <x:c r="A504" s="10" t="str">
        <x:v>LOC126354707</x:v>
      </x:c>
      <x:c r="B504" s="10" t="str">
        <x:v>esterase FE4-like</x:v>
      </x:c>
      <x:c r="C504" s="19" t="str">
        <x:f>IF(COUNTIF('Colleague 115'!$A$2:$A$116,A504)&gt;0,"Yes","No")</x:f>
        <x:v>No</x:v>
      </x:c>
      <x:c r="D504" s="19" t="str">
        <x:f>IF(COUNTIF('Volcano 402'!$A$2:$A$403,A504)&gt;0,"Yes","No")</x:f>
        <x:v>Yes</x:v>
      </x:c>
      <x:c r="E504" s="19" t="str">
        <x:f>IF(COUNTIF('Heatmap 169'!$A$2:$A$170,A504)&gt;0,"Yes","No")</x:f>
        <x:v>No</x:v>
      </x:c>
      <x:c r="F504" s="19" t="n">
        <x:f>COUNTIF(C504:E504,"Yes")</x:f>
        <x:v>1</x:v>
      </x:c>
      <x:c r="G504" s="10" t="str">
        <x:f>IF(F504=3,"All three",IF(F504=2,IF(C504="No","Volcano + heatmap",IF(D504="No","Colleague + heatmap","Colleague + volcano")),IF(C504="Yes","Colleague only",IF(D504="Yes","Volcano only","Heatmap only"))))</x:f>
        <x:v>Volcano only</x:v>
      </x:c>
      <x:c r="H504" s="10" t="str"/>
      <x:c r="I504" s="10" t="str"/>
      <x:c r="J504" s="10" t="str">
        <x:v>Lipid synthesis / metabolism</x:v>
      </x:c>
      <x:c r="K504" s="10" t="str">
        <x:v>infection_average_all_diets; infection_diet33; infection_diet83</x:v>
      </x:c>
      <x:c r="L504" s="10" t="str"/>
      <x:c r="M504" s="10" t="str"/>
      <x:c r="N504" s="10" t="str"/>
    </x:row>
    <x:row r="505">
      <x:c r="A505" s="10" t="str">
        <x:v>LOC126354750</x:v>
      </x:c>
      <x:c r="B505" s="10" t="str">
        <x:v>amino acid transporter</x:v>
      </x:c>
      <x:c r="C505" s="19" t="str">
        <x:f>IF(COUNTIF('Colleague 115'!$A$2:$A$116,A505)&gt;0,"Yes","No")</x:f>
        <x:v>No</x:v>
      </x:c>
      <x:c r="D505" s="19" t="str">
        <x:f>IF(COUNTIF('Volcano 402'!$A$2:$A$403,A505)&gt;0,"Yes","No")</x:f>
        <x:v>No</x:v>
      </x:c>
      <x:c r="E505" s="19" t="str">
        <x:f>IF(COUNTIF('Heatmap 169'!$A$2:$A$170,A505)&gt;0,"Yes","No")</x:f>
        <x:v>Yes</x:v>
      </x:c>
      <x:c r="F505" s="19" t="n">
        <x:f>COUNTIF(C505:E505,"Yes")</x:f>
        <x:v>1</x:v>
      </x:c>
      <x:c r="G505" s="10" t="str">
        <x:f>IF(F505=3,"All three",IF(F505=2,IF(C505="No","Volcano + heatmap",IF(D505="No","Colleague + heatmap","Colleague + volcano")),IF(C505="Yes","Colleague only",IF(D505="Yes","Volcano only","Heatmap only"))))</x:f>
        <x:v>Heatmap only</x:v>
      </x:c>
      <x:c r="H505" s="10" t="str"/>
      <x:c r="I505" s="10" t="str"/>
      <x:c r="J505" s="10" t="str"/>
      <x:c r="K505" s="10" t="str"/>
      <x:c r="L505" s="10" t="str">
        <x:v>Functional candidate</x:v>
      </x:c>
      <x:c r="M505" s="10" t="str">
        <x:v>Nutrition/metabolism</x:v>
      </x:c>
      <x:c r="N505" s="10" t="str">
        <x:v>Not DEG</x:v>
      </x:c>
    </x:row>
    <x:row r="506">
      <x:c r="A506" s="10" t="str">
        <x:v>LOC126354751</x:v>
      </x:c>
      <x:c r="B506" s="10" t="str">
        <x:v>proton-coupled amino acid transporter-like protein CG1139</x:v>
      </x:c>
      <x:c r="C506" s="19" t="str">
        <x:f>IF(COUNTIF('Colleague 115'!$A$2:$A$116,A506)&gt;0,"Yes","No")</x:f>
        <x:v>Yes</x:v>
      </x:c>
      <x:c r="D506" s="19" t="str">
        <x:f>IF(COUNTIF('Volcano 402'!$A$2:$A$403,A506)&gt;0,"Yes","No")</x:f>
        <x:v>No</x:v>
      </x:c>
      <x:c r="E506" s="19" t="str">
        <x:f>IF(COUNTIF('Heatmap 169'!$A$2:$A$170,A506)&gt;0,"Yes","No")</x:f>
        <x:v>No</x:v>
      </x:c>
      <x:c r="F506" s="19" t="n">
        <x:f>COUNTIF(C506:E506,"Yes")</x:f>
        <x:v>1</x:v>
      </x:c>
      <x:c r="G506" s="10" t="str">
        <x:f>IF(F506=3,"All three",IF(F506=2,IF(C506="No","Volcano + heatmap",IF(D506="No","Colleague + heatmap","Colleague + volcano")),IF(C506="Yes","Colleague only",IF(D506="Yes","Volcano only","Heatmap only"))))</x:f>
        <x:v>Colleague only</x:v>
      </x:c>
      <x:c r="H506" s="10" t="str">
        <x:v>Nitrogen, Amino Acid Transport &amp; Metabolism</x:v>
      </x:c>
      <x:c r="I506" s="10" t="str">
        <x:v>Proton-Coupled &amp; Auxiliary Amino Acid Transporters</x:v>
      </x:c>
      <x:c r="J506" s="10" t="str"/>
      <x:c r="K506" s="10" t="str"/>
      <x:c r="L506" s="10" t="str"/>
      <x:c r="M506" s="10" t="str"/>
      <x:c r="N506" s="10" t="str"/>
    </x:row>
    <x:row r="507">
      <x:c r="A507" s="10" t="str">
        <x:v>LOC126354753</x:v>
      </x:c>
      <x:c r="B507" s="10" t="str">
        <x:v>proton-coupled amino acid transporter-like protein pathetic</x:v>
      </x:c>
      <x:c r="C507" s="19" t="str">
        <x:f>IF(COUNTIF('Colleague 115'!$A$2:$A$116,A507)&gt;0,"Yes","No")</x:f>
        <x:v>Yes</x:v>
      </x:c>
      <x:c r="D507" s="19" t="str">
        <x:f>IF(COUNTIF('Volcano 402'!$A$2:$A$403,A507)&gt;0,"Yes","No")</x:f>
        <x:v>No</x:v>
      </x:c>
      <x:c r="E507" s="19" t="str">
        <x:f>IF(COUNTIF('Heatmap 169'!$A$2:$A$170,A507)&gt;0,"Yes","No")</x:f>
        <x:v>No</x:v>
      </x:c>
      <x:c r="F507" s="19" t="n">
        <x:f>COUNTIF(C507:E507,"Yes")</x:f>
        <x:v>1</x:v>
      </x:c>
      <x:c r="G507" s="10" t="str">
        <x:f>IF(F507=3,"All three",IF(F507=2,IF(C507="No","Volcano + heatmap",IF(D507="No","Colleague + heatmap","Colleague + volcano")),IF(C507="Yes","Colleague only",IF(D507="Yes","Volcano only","Heatmap only"))))</x:f>
        <x:v>Colleague only</x:v>
      </x:c>
      <x:c r="H507" s="10" t="str">
        <x:v>Nitrogen, Amino Acid Transport &amp; Metabolism</x:v>
      </x:c>
      <x:c r="I507" s="10" t="str">
        <x:v>Proton-Coupled &amp; Auxiliary Amino Acid Transporters</x:v>
      </x:c>
      <x:c r="J507" s="10" t="str"/>
      <x:c r="K507" s="10" t="str"/>
      <x:c r="L507" s="10" t="str"/>
      <x:c r="M507" s="10" t="str"/>
      <x:c r="N507" s="10" t="str"/>
    </x:row>
    <x:row r="508">
      <x:c r="A508" s="10" t="str">
        <x:v>LOC126354788</x:v>
      </x:c>
      <x:c r="B508" s="10" t="str">
        <x:v>proton-coupled amino acid transporter-like protein pathetic</x:v>
      </x:c>
      <x:c r="C508" s="19" t="str">
        <x:f>IF(COUNTIF('Colleague 115'!$A$2:$A$116,A508)&gt;0,"Yes","No")</x:f>
        <x:v>Yes</x:v>
      </x:c>
      <x:c r="D508" s="19" t="str">
        <x:f>IF(COUNTIF('Volcano 402'!$A$2:$A$403,A508)&gt;0,"Yes","No")</x:f>
        <x:v>No</x:v>
      </x:c>
      <x:c r="E508" s="19" t="str">
        <x:f>IF(COUNTIF('Heatmap 169'!$A$2:$A$170,A508)&gt;0,"Yes","No")</x:f>
        <x:v>No</x:v>
      </x:c>
      <x:c r="F508" s="19" t="n">
        <x:f>COUNTIF(C508:E508,"Yes")</x:f>
        <x:v>1</x:v>
      </x:c>
      <x:c r="G508" s="10" t="str">
        <x:f>IF(F508=3,"All three",IF(F508=2,IF(C508="No","Volcano + heatmap",IF(D508="No","Colleague + heatmap","Colleague + volcano")),IF(C508="Yes","Colleague only",IF(D508="Yes","Volcano only","Heatmap only"))))</x:f>
        <x:v>Colleague only</x:v>
      </x:c>
      <x:c r="H508" s="10" t="str">
        <x:v>Nitrogen, Amino Acid Transport &amp; Metabolism</x:v>
      </x:c>
      <x:c r="I508" s="10" t="str">
        <x:v>Proton-Coupled &amp; Auxiliary Amino Acid Transporters</x:v>
      </x:c>
      <x:c r="J508" s="10" t="str"/>
      <x:c r="K508" s="10" t="str"/>
      <x:c r="L508" s="10" t="str"/>
      <x:c r="M508" s="10" t="str"/>
      <x:c r="N508" s="10" t="str"/>
    </x:row>
    <x:row r="509">
      <x:c r="A509" s="10" t="str">
        <x:v>LOC126354816</x:v>
      </x:c>
      <x:c r="B509" s="10" t="str">
        <x:v>sodium-dependent neutral amino acid transporter B(0)AT3</x:v>
      </x:c>
      <x:c r="C509" s="19" t="str">
        <x:f>IF(COUNTIF('Colleague 115'!$A$2:$A$116,A509)&gt;0,"Yes","No")</x:f>
        <x:v>Yes</x:v>
      </x:c>
      <x:c r="D509" s="19" t="str">
        <x:f>IF(COUNTIF('Volcano 402'!$A$2:$A$403,A509)&gt;0,"Yes","No")</x:f>
        <x:v>No</x:v>
      </x:c>
      <x:c r="E509" s="19" t="str">
        <x:f>IF(COUNTIF('Heatmap 169'!$A$2:$A$170,A509)&gt;0,"Yes","No")</x:f>
        <x:v>No</x:v>
      </x:c>
      <x:c r="F509" s="19" t="n">
        <x:f>COUNTIF(C509:E509,"Yes")</x:f>
        <x:v>1</x:v>
      </x:c>
      <x:c r="G509" s="10" t="str">
        <x:f>IF(F509=3,"All three",IF(F509=2,IF(C509="No","Volcano + heatmap",IF(D509="No","Colleague + heatmap","Colleague + volcano")),IF(C509="Yes","Colleague only",IF(D509="Yes","Volcano only","Heatmap only"))))</x:f>
        <x:v>Colleague only</x:v>
      </x:c>
      <x:c r="H509" s="10" t="str">
        <x:v>Nitrogen, Amino Acid Transport &amp; Metabolism</x:v>
      </x:c>
      <x:c r="I509" s="10" t="str">
        <x:v>Sodium-Dependent Nutrient Transporters</x:v>
      </x:c>
      <x:c r="J509" s="10" t="str"/>
      <x:c r="K509" s="10" t="str"/>
      <x:c r="L509" s="10" t="str"/>
      <x:c r="M509" s="10" t="str"/>
      <x:c r="N509" s="10" t="str"/>
    </x:row>
    <x:row r="510">
      <x:c r="A510" s="10" t="str">
        <x:v>LOC126354923</x:v>
      </x:c>
      <x:c r="B510" s="10" t="str"/>
      <x:c r="C510" s="19" t="str">
        <x:f>IF(COUNTIF('Colleague 115'!$A$2:$A$116,A510)&gt;0,"Yes","No")</x:f>
        <x:v>No</x:v>
      </x:c>
      <x:c r="D510" s="19" t="str">
        <x:f>IF(COUNTIF('Volcano 402'!$A$2:$A$403,A510)&gt;0,"Yes","No")</x:f>
        <x:v>No</x:v>
      </x:c>
      <x:c r="E510" s="19" t="str">
        <x:f>IF(COUNTIF('Heatmap 169'!$A$2:$A$170,A510)&gt;0,"Yes","No")</x:f>
        <x:v>Yes</x:v>
      </x:c>
      <x:c r="F510" s="19" t="n">
        <x:f>COUNTIF(C510:E510,"Yes")</x:f>
        <x:v>1</x:v>
      </x:c>
      <x:c r="G510" s="10" t="str">
        <x:f>IF(F510=3,"All three",IF(F510=2,IF(C510="No","Volcano + heatmap",IF(D510="No","Colleague + heatmap","Colleague + volcano")),IF(C510="Yes","Colleague only",IF(D510="Yes","Volcano only","Heatmap only"))))</x:f>
        <x:v>Heatmap only</x:v>
      </x:c>
      <x:c r="H510" s="10" t="str"/>
      <x:c r="I510" s="10" t="str"/>
      <x:c r="J510" s="10" t="str"/>
      <x:c r="K510" s="10" t="str"/>
      <x:c r="L510" s="10" t="str">
        <x:v>Top DEG</x:v>
      </x:c>
      <x:c r="M510" s="10" t="str">
        <x:v>Other strong DEG</x:v>
      </x:c>
      <x:c r="N510" s="10" t="str">
        <x:v>DEG</x:v>
      </x:c>
    </x:row>
    <x:row r="511">
      <x:c r="A511" s="10" t="str">
        <x:v>LOC126354995</x:v>
      </x:c>
      <x:c r="B511" s="10" t="str">
        <x:v>carboxy-lyase activity. It is involved in the biological process described with carboxylic acid metabolic process</x:v>
      </x:c>
      <x:c r="C511" s="19" t="str">
        <x:f>IF(COUNTIF('Colleague 115'!$A$2:$A$116,A511)&gt;0,"Yes","No")</x:f>
        <x:v>No</x:v>
      </x:c>
      <x:c r="D511" s="19" t="str">
        <x:f>IF(COUNTIF('Volcano 402'!$A$2:$A$403,A511)&gt;0,"Yes","No")</x:f>
        <x:v>No</x:v>
      </x:c>
      <x:c r="E511" s="19" t="str">
        <x:f>IF(COUNTIF('Heatmap 169'!$A$2:$A$170,A511)&gt;0,"Yes","No")</x:f>
        <x:v>Yes</x:v>
      </x:c>
      <x:c r="F511" s="19" t="n">
        <x:f>COUNTIF(C511:E511,"Yes")</x:f>
        <x:v>1</x:v>
      </x:c>
      <x:c r="G511" s="10" t="str">
        <x:f>IF(F511=3,"All three",IF(F511=2,IF(C511="No","Volcano + heatmap",IF(D511="No","Colleague + heatmap","Colleague + volcano")),IF(C511="Yes","Colleague only",IF(D511="Yes","Volcano only","Heatmap only"))))</x:f>
        <x:v>Heatmap only</x:v>
      </x:c>
      <x:c r="H511" s="10" t="str"/>
      <x:c r="I511" s="10" t="str"/>
      <x:c r="J511" s="10" t="str"/>
      <x:c r="K511" s="10" t="str"/>
      <x:c r="L511" s="10" t="str">
        <x:v>Top DEG</x:v>
      </x:c>
      <x:c r="M511" s="10" t="str">
        <x:v>Nutrition/metabolism</x:v>
      </x:c>
      <x:c r="N511" s="10" t="str">
        <x:v>DEG</x:v>
      </x:c>
    </x:row>
    <x:row r="512">
      <x:c r="A512" s="10" t="str">
        <x:v>LOC126355037</x:v>
      </x:c>
      <x:c r="B512" s="10" t="str">
        <x:v>beta-1,3-glucan-binding protein 2-like</x:v>
      </x:c>
      <x:c r="C512" s="19" t="str">
        <x:f>IF(COUNTIF('Colleague 115'!$A$2:$A$116,A512)&gt;0,"Yes","No")</x:f>
        <x:v>No</x:v>
      </x:c>
      <x:c r="D512" s="19" t="str">
        <x:f>IF(COUNTIF('Volcano 402'!$A$2:$A$403,A512)&gt;0,"Yes","No")</x:f>
        <x:v>Yes</x:v>
      </x:c>
      <x:c r="E512" s="19" t="str">
        <x:f>IF(COUNTIF('Heatmap 169'!$A$2:$A$170,A512)&gt;0,"Yes","No")</x:f>
        <x:v>No</x:v>
      </x:c>
      <x:c r="F512" s="19" t="n">
        <x:f>COUNTIF(C512:E512,"Yes")</x:f>
        <x:v>1</x:v>
      </x:c>
      <x:c r="G512" s="10" t="str">
        <x:f>IF(F512=3,"All three",IF(F512=2,IF(C512="No","Volcano + heatmap",IF(D512="No","Colleague + heatmap","Colleague + volcano")),IF(C512="Yes","Colleague only",IF(D512="Yes","Volcano only","Heatmap only"))))</x:f>
        <x:v>Volcano only</x:v>
      </x:c>
      <x:c r="H512" s="10" t="str"/>
      <x:c r="I512" s="10" t="str"/>
      <x:c r="J512" s="10" t="str">
        <x:v>Immune-related</x:v>
      </x:c>
      <x:c r="K512" s="10" t="str">
        <x:v>infection_average_all_diets; infection_diet50</x:v>
      </x:c>
      <x:c r="L512" s="10" t="str"/>
      <x:c r="M512" s="10" t="str"/>
      <x:c r="N512" s="10" t="str"/>
    </x:row>
    <x:row r="513">
      <x:c r="A513" s="10" t="str">
        <x:v>LOC126355040</x:v>
      </x:c>
      <x:c r="B513" s="10" t="str">
        <x:v>beta-1,3-glucan-binding protein-like</x:v>
      </x:c>
      <x:c r="C513" s="19" t="str">
        <x:f>IF(COUNTIF('Colleague 115'!$A$2:$A$116,A513)&gt;0,"Yes","No")</x:f>
        <x:v>No</x:v>
      </x:c>
      <x:c r="D513" s="19" t="str">
        <x:f>IF(COUNTIF('Volcano 402'!$A$2:$A$403,A513)&gt;0,"Yes","No")</x:f>
        <x:v>Yes</x:v>
      </x:c>
      <x:c r="E513" s="19" t="str">
        <x:f>IF(COUNTIF('Heatmap 169'!$A$2:$A$170,A513)&gt;0,"Yes","No")</x:f>
        <x:v>No</x:v>
      </x:c>
      <x:c r="F513" s="19" t="n">
        <x:f>COUNTIF(C513:E513,"Yes")</x:f>
        <x:v>1</x:v>
      </x:c>
      <x:c r="G513" s="10" t="str">
        <x:f>IF(F513=3,"All three",IF(F513=2,IF(C513="No","Volcano + heatmap",IF(D513="No","Colleague + heatmap","Colleague + volcano")),IF(C513="Yes","Colleague only",IF(D513="Yes","Volcano only","Heatmap only"))))</x:f>
        <x:v>Volcano only</x:v>
      </x:c>
      <x:c r="H513" s="10" t="str"/>
      <x:c r="I513" s="10" t="str"/>
      <x:c r="J513" s="10" t="str">
        <x:v>Immune-related</x:v>
      </x:c>
      <x:c r="K513" s="10" t="str">
        <x:v>infection_average_all_diets; infection_diet50</x:v>
      </x:c>
      <x:c r="L513" s="10" t="str"/>
      <x:c r="M513" s="10" t="str"/>
      <x:c r="N513" s="10" t="str"/>
    </x:row>
    <x:row r="514">
      <x:c r="A514" s="10" t="str">
        <x:v>LOC126355041</x:v>
      </x:c>
      <x:c r="B514" s="10" t="str">
        <x:v>beta-1,3-glucan-binding protein-like</x:v>
      </x:c>
      <x:c r="C514" s="19" t="str">
        <x:f>IF(COUNTIF('Colleague 115'!$A$2:$A$116,A514)&gt;0,"Yes","No")</x:f>
        <x:v>No</x:v>
      </x:c>
      <x:c r="D514" s="19" t="str">
        <x:f>IF(COUNTIF('Volcano 402'!$A$2:$A$403,A514)&gt;0,"Yes","No")</x:f>
        <x:v>Yes</x:v>
      </x:c>
      <x:c r="E514" s="19" t="str">
        <x:f>IF(COUNTIF('Heatmap 169'!$A$2:$A$170,A514)&gt;0,"Yes","No")</x:f>
        <x:v>No</x:v>
      </x:c>
      <x:c r="F514" s="19" t="n">
        <x:f>COUNTIF(C514:E514,"Yes")</x:f>
        <x:v>1</x:v>
      </x:c>
      <x:c r="G514" s="10" t="str">
        <x:f>IF(F514=3,"All three",IF(F514=2,IF(C514="No","Volcano + heatmap",IF(D514="No","Colleague + heatmap","Colleague + volcano")),IF(C514="Yes","Colleague only",IF(D514="Yes","Volcano only","Heatmap only"))))</x:f>
        <x:v>Volcano only</x:v>
      </x:c>
      <x:c r="H514" s="10" t="str"/>
      <x:c r="I514" s="10" t="str"/>
      <x:c r="J514" s="10" t="str">
        <x:v>Immune-related</x:v>
      </x:c>
      <x:c r="K514" s="10" t="str">
        <x:v>infection_average_all_diets; infection_diet50; infection_diet83</x:v>
      </x:c>
      <x:c r="L514" s="10" t="str"/>
      <x:c r="M514" s="10" t="str"/>
      <x:c r="N514" s="10" t="str"/>
    </x:row>
    <x:row r="515">
      <x:c r="A515" s="10" t="str">
        <x:v>LOC126355051</x:v>
      </x:c>
      <x:c r="B515" s="10" t="str">
        <x:v>dorsal-ventral patterning protein Sog-like</x:v>
      </x:c>
      <x:c r="C515" s="19" t="str">
        <x:f>IF(COUNTIF('Colleague 115'!$A$2:$A$116,A515)&gt;0,"Yes","No")</x:f>
        <x:v>No</x:v>
      </x:c>
      <x:c r="D515" s="19" t="str">
        <x:f>IF(COUNTIF('Volcano 402'!$A$2:$A$403,A515)&gt;0,"Yes","No")</x:f>
        <x:v>Yes</x:v>
      </x:c>
      <x:c r="E515" s="19" t="str">
        <x:f>IF(COUNTIF('Heatmap 169'!$A$2:$A$170,A515)&gt;0,"Yes","No")</x:f>
        <x:v>No</x:v>
      </x:c>
      <x:c r="F515" s="19" t="n">
        <x:f>COUNTIF(C515:E515,"Yes")</x:f>
        <x:v>1</x:v>
      </x:c>
      <x:c r="G515" s="10" t="str">
        <x:f>IF(F515=3,"All three",IF(F515=2,IF(C515="No","Volcano + heatmap",IF(D515="No","Colleague + heatmap","Colleague + volcano")),IF(C515="Yes","Colleague only",IF(D515="Yes","Volcano only","Heatmap only"))))</x:f>
        <x:v>Volcano only</x:v>
      </x:c>
      <x:c r="H515" s="10" t="str"/>
      <x:c r="I515" s="10" t="str"/>
      <x:c r="J515" s="10" t="str">
        <x:v>Immune-related</x:v>
      </x:c>
      <x:c r="K515" s="10" t="str">
        <x:v>infection_diet83</x:v>
      </x:c>
      <x:c r="L515" s="10" t="str"/>
      <x:c r="M515" s="10" t="str"/>
      <x:c r="N515" s="10" t="str"/>
    </x:row>
    <x:row r="516">
      <x:c r="A516" s="10" t="str">
        <x:v>LOC126355150</x:v>
      </x:c>
      <x:c r="B516" s="10" t="str">
        <x:v>juvenile hormone esterase</x:v>
      </x:c>
      <x:c r="C516" s="19" t="str">
        <x:f>IF(COUNTIF('Colleague 115'!$A$2:$A$116,A516)&gt;0,"Yes","No")</x:f>
        <x:v>No</x:v>
      </x:c>
      <x:c r="D516" s="19" t="str">
        <x:f>IF(COUNTIF('Volcano 402'!$A$2:$A$403,A516)&gt;0,"Yes","No")</x:f>
        <x:v>Yes</x:v>
      </x:c>
      <x:c r="E516" s="19" t="str">
        <x:f>IF(COUNTIF('Heatmap 169'!$A$2:$A$170,A516)&gt;0,"Yes","No")</x:f>
        <x:v>No</x:v>
      </x:c>
      <x:c r="F516" s="19" t="n">
        <x:f>COUNTIF(C516:E516,"Yes")</x:f>
        <x:v>1</x:v>
      </x:c>
      <x:c r="G516" s="10" t="str">
        <x:f>IF(F516=3,"All three",IF(F516=2,IF(C516="No","Volcano + heatmap",IF(D516="No","Colleague + heatmap","Colleague + volcano")),IF(C516="Yes","Colleague only",IF(D516="Yes","Volcano only","Heatmap only"))))</x:f>
        <x:v>Volcano only</x:v>
      </x:c>
      <x:c r="H516" s="10" t="str"/>
      <x:c r="I516" s="10" t="str"/>
      <x:c r="J516" s="10" t="str">
        <x:v>Lipid synthesis / metabolism</x:v>
      </x:c>
      <x:c r="K516" s="10" t="str">
        <x:v>infection_diet50</x:v>
      </x:c>
      <x:c r="L516" s="10" t="str"/>
      <x:c r="M516" s="10" t="str"/>
      <x:c r="N516" s="10" t="str"/>
    </x:row>
    <x:row r="517">
      <x:c r="A517" s="10" t="str">
        <x:v>LOC126355184</x:v>
      </x:c>
      <x:c r="B517" s="10" t="str">
        <x:v>venom carboxylesterase-6-like</x:v>
      </x:c>
      <x:c r="C517" s="19" t="str">
        <x:f>IF(COUNTIF('Colleague 115'!$A$2:$A$116,A517)&gt;0,"Yes","No")</x:f>
        <x:v>No</x:v>
      </x:c>
      <x:c r="D517" s="19" t="str">
        <x:f>IF(COUNTIF('Volcano 402'!$A$2:$A$403,A517)&gt;0,"Yes","No")</x:f>
        <x:v>Yes</x:v>
      </x:c>
      <x:c r="E517" s="19" t="str">
        <x:f>IF(COUNTIF('Heatmap 169'!$A$2:$A$170,A517)&gt;0,"Yes","No")</x:f>
        <x:v>No</x:v>
      </x:c>
      <x:c r="F517" s="19" t="n">
        <x:f>COUNTIF(C517:E517,"Yes")</x:f>
        <x:v>1</x:v>
      </x:c>
      <x:c r="G517" s="10" t="str">
        <x:f>IF(F517=3,"All three",IF(F517=2,IF(C517="No","Volcano + heatmap",IF(D517="No","Colleague + heatmap","Colleague + volcano")),IF(C517="Yes","Colleague only",IF(D517="Yes","Volcano only","Heatmap only"))))</x:f>
        <x:v>Volcano only</x:v>
      </x:c>
      <x:c r="H517" s="10" t="str"/>
      <x:c r="I517" s="10" t="str"/>
      <x:c r="J517" s="10" t="str">
        <x:v>Lipid synthesis / metabolism</x:v>
      </x:c>
      <x:c r="K517" s="10" t="str">
        <x:v>infection_average_all_diets; infection_diet33; infection_diet50; infection_diet83</x:v>
      </x:c>
      <x:c r="L517" s="10" t="str"/>
      <x:c r="M517" s="10" t="str"/>
      <x:c r="N517" s="10" t="str"/>
    </x:row>
    <x:row r="518">
      <x:c r="A518" s="10" t="str">
        <x:v>LOC126355303</x:v>
      </x:c>
      <x:c r="B518" s="10" t="str">
        <x:v>Transporter activity. It is involved in the biological process described with transmembrane transport</x:v>
      </x:c>
      <x:c r="C518" s="19" t="str">
        <x:f>IF(COUNTIF('Colleague 115'!$A$2:$A$116,A518)&gt;0,"Yes","No")</x:f>
        <x:v>No</x:v>
      </x:c>
      <x:c r="D518" s="19" t="str">
        <x:f>IF(COUNTIF('Volcano 402'!$A$2:$A$403,A518)&gt;0,"Yes","No")</x:f>
        <x:v>No</x:v>
      </x:c>
      <x:c r="E518" s="19" t="str">
        <x:f>IF(COUNTIF('Heatmap 169'!$A$2:$A$170,A518)&gt;0,"Yes","No")</x:f>
        <x:v>Yes</x:v>
      </x:c>
      <x:c r="F518" s="19" t="n">
        <x:f>COUNTIF(C518:E518,"Yes")</x:f>
        <x:v>1</x:v>
      </x:c>
      <x:c r="G518" s="10" t="str">
        <x:f>IF(F518=3,"All three",IF(F518=2,IF(C518="No","Volcano + heatmap",IF(D518="No","Colleague + heatmap","Colleague + volcano")),IF(C518="Yes","Colleague only",IF(D518="Yes","Volcano only","Heatmap only"))))</x:f>
        <x:v>Heatmap only</x:v>
      </x:c>
      <x:c r="H518" s="10" t="str"/>
      <x:c r="I518" s="10" t="str"/>
      <x:c r="J518" s="10" t="str"/>
      <x:c r="K518" s="10" t="str"/>
      <x:c r="L518" s="10" t="str">
        <x:v>Functional candidate</x:v>
      </x:c>
      <x:c r="M518" s="10" t="str">
        <x:v>Nutrition/metabolism</x:v>
      </x:c>
      <x:c r="N518" s="10" t="str">
        <x:v>DEG</x:v>
      </x:c>
    </x:row>
    <x:row r="519">
      <x:c r="A519" s="10" t="str">
        <x:v>LOC126355345</x:v>
      </x:c>
      <x:c r="B519" s="10" t="str">
        <x:v>uncharacterized LOC126355345</x:v>
      </x:c>
      <x:c r="C519" s="19" t="str">
        <x:f>IF(COUNTIF('Colleague 115'!$A$2:$A$116,A519)&gt;0,"Yes","No")</x:f>
        <x:v>No</x:v>
      </x:c>
      <x:c r="D519" s="19" t="str">
        <x:f>IF(COUNTIF('Volcano 402'!$A$2:$A$403,A519)&gt;0,"Yes","No")</x:f>
        <x:v>Yes</x:v>
      </x:c>
      <x:c r="E519" s="19" t="str">
        <x:f>IF(COUNTIF('Heatmap 169'!$A$2:$A$170,A519)&gt;0,"Yes","No")</x:f>
        <x:v>No</x:v>
      </x:c>
      <x:c r="F519" s="19" t="n">
        <x:f>COUNTIF(C519:E519,"Yes")</x:f>
        <x:v>1</x:v>
      </x:c>
      <x:c r="G519" s="10" t="str">
        <x:f>IF(F519=3,"All three",IF(F519=2,IF(C519="No","Volcano + heatmap",IF(D519="No","Colleague + heatmap","Colleague + volcano")),IF(C519="Yes","Colleague only",IF(D519="Yes","Volcano only","Heatmap only"))))</x:f>
        <x:v>Volcano only</x:v>
      </x:c>
      <x:c r="H519" s="10" t="str"/>
      <x:c r="I519" s="10" t="str"/>
      <x:c r="J519" s="10" t="str">
        <x:v>Immune-related</x:v>
      </x:c>
      <x:c r="K519" s="10" t="str">
        <x:v>infection_diet50</x:v>
      </x:c>
      <x:c r="L519" s="10" t="str"/>
      <x:c r="M519" s="10" t="str"/>
      <x:c r="N519" s="10" t="str"/>
    </x:row>
    <x:row r="520">
      <x:c r="A520" s="10" t="str">
        <x:v>LOC126355419</x:v>
      </x:c>
      <x:c r="B520" s="10" t="str">
        <x:v>cytochrome P450 4C1-like</x:v>
      </x:c>
      <x:c r="C520" s="19" t="str">
        <x:f>IF(COUNTIF('Colleague 115'!$A$2:$A$116,A520)&gt;0,"Yes","No")</x:f>
        <x:v>No</x:v>
      </x:c>
      <x:c r="D520" s="19" t="str">
        <x:f>IF(COUNTIF('Volcano 402'!$A$2:$A$403,A520)&gt;0,"Yes","No")</x:f>
        <x:v>Yes</x:v>
      </x:c>
      <x:c r="E520" s="19" t="str">
        <x:f>IF(COUNTIF('Heatmap 169'!$A$2:$A$170,A520)&gt;0,"Yes","No")</x:f>
        <x:v>No</x:v>
      </x:c>
      <x:c r="F520" s="19" t="n">
        <x:f>COUNTIF(C520:E520,"Yes")</x:f>
        <x:v>1</x:v>
      </x:c>
      <x:c r="G520" s="10" t="str">
        <x:f>IF(F520=3,"All three",IF(F520=2,IF(C520="No","Volcano + heatmap",IF(D520="No","Colleague + heatmap","Colleague + volcano")),IF(C520="Yes","Colleague only",IF(D520="Yes","Volcano only","Heatmap only"))))</x:f>
        <x:v>Volcano only</x:v>
      </x:c>
      <x:c r="H520" s="10" t="str"/>
      <x:c r="I520" s="10" t="str"/>
      <x:c r="J520" s="10" t="str">
        <x:v>Detoxification / stress</x:v>
      </x:c>
      <x:c r="K520" s="10" t="str">
        <x:v>infection_average_all_diets; infection_diet33</x:v>
      </x:c>
      <x:c r="L520" s="10" t="str"/>
      <x:c r="M520" s="10" t="str"/>
      <x:c r="N520" s="10" t="str"/>
    </x:row>
    <x:row r="521">
      <x:c r="A521" s="10" t="str">
        <x:v>LOC126355443</x:v>
      </x:c>
      <x:c r="B521" s="10" t="str">
        <x:v>acetylcholinesterase-like</x:v>
      </x:c>
      <x:c r="C521" s="19" t="str">
        <x:f>IF(COUNTIF('Colleague 115'!$A$2:$A$116,A521)&gt;0,"Yes","No")</x:f>
        <x:v>No</x:v>
      </x:c>
      <x:c r="D521" s="19" t="str">
        <x:f>IF(COUNTIF('Volcano 402'!$A$2:$A$403,A521)&gt;0,"Yes","No")</x:f>
        <x:v>Yes</x:v>
      </x:c>
      <x:c r="E521" s="19" t="str">
        <x:f>IF(COUNTIF('Heatmap 169'!$A$2:$A$170,A521)&gt;0,"Yes","No")</x:f>
        <x:v>No</x:v>
      </x:c>
      <x:c r="F521" s="19" t="n">
        <x:f>COUNTIF(C521:E521,"Yes")</x:f>
        <x:v>1</x:v>
      </x:c>
      <x:c r="G521" s="10" t="str">
        <x:f>IF(F521=3,"All three",IF(F521=2,IF(C521="No","Volcano + heatmap",IF(D521="No","Colleague + heatmap","Colleague + volcano")),IF(C521="Yes","Colleague only",IF(D521="Yes","Volcano only","Heatmap only"))))</x:f>
        <x:v>Volcano only</x:v>
      </x:c>
      <x:c r="H521" s="10" t="str"/>
      <x:c r="I521" s="10" t="str"/>
      <x:c r="J521" s="10" t="str">
        <x:v>Detoxification / stress</x:v>
      </x:c>
      <x:c r="K521" s="10" t="str">
        <x:v>infection_average_all_diets</x:v>
      </x:c>
      <x:c r="L521" s="10" t="str"/>
      <x:c r="M521" s="10" t="str"/>
      <x:c r="N521" s="10" t="str"/>
    </x:row>
    <x:row r="522">
      <x:c r="A522" s="10" t="str">
        <x:v>LOC126355590</x:v>
      </x:c>
      <x:c r="B522" s="10" t="str">
        <x:v>Vault protein inter-alpha-trypsin domain</x:v>
      </x:c>
      <x:c r="C522" s="19" t="str">
        <x:f>IF(COUNTIF('Colleague 115'!$A$2:$A$116,A522)&gt;0,"Yes","No")</x:f>
        <x:v>No</x:v>
      </x:c>
      <x:c r="D522" s="19" t="str">
        <x:f>IF(COUNTIF('Volcano 402'!$A$2:$A$403,A522)&gt;0,"Yes","No")</x:f>
        <x:v>No</x:v>
      </x:c>
      <x:c r="E522" s="19" t="str">
        <x:f>IF(COUNTIF('Heatmap 169'!$A$2:$A$170,A522)&gt;0,"Yes","No")</x:f>
        <x:v>Yes</x:v>
      </x:c>
      <x:c r="F522" s="19" t="n">
        <x:f>COUNTIF(C522:E522,"Yes")</x:f>
        <x:v>1</x:v>
      </x:c>
      <x:c r="G522" s="10" t="str">
        <x:f>IF(F522=3,"All three",IF(F522=2,IF(C522="No","Volcano + heatmap",IF(D522="No","Colleague + heatmap","Colleague + volcano")),IF(C522="Yes","Colleague only",IF(D522="Yes","Volcano only","Heatmap only"))))</x:f>
        <x:v>Heatmap only</x:v>
      </x:c>
      <x:c r="H522" s="10" t="str"/>
      <x:c r="I522" s="10" t="str"/>
      <x:c r="J522" s="10" t="str"/>
      <x:c r="K522" s="10" t="str"/>
      <x:c r="L522" s="10" t="str">
        <x:v>Functional candidate</x:v>
      </x:c>
      <x:c r="M522" s="10" t="str">
        <x:v>Nutrition/metabolism</x:v>
      </x:c>
      <x:c r="N522" s="10" t="str">
        <x:v>DEG</x:v>
      </x:c>
    </x:row>
    <x:row r="523">
      <x:c r="A523" s="10" t="str">
        <x:v>LOC126355596</x:v>
      </x:c>
      <x:c r="B523" s="10" t="str">
        <x:v>dual oxidase</x:v>
      </x:c>
      <x:c r="C523" s="19" t="str">
        <x:f>IF(COUNTIF('Colleague 115'!$A$2:$A$116,A523)&gt;0,"Yes","No")</x:f>
        <x:v>No</x:v>
      </x:c>
      <x:c r="D523" s="19" t="str">
        <x:f>IF(COUNTIF('Volcano 402'!$A$2:$A$403,A523)&gt;0,"Yes","No")</x:f>
        <x:v>Yes</x:v>
      </x:c>
      <x:c r="E523" s="19" t="str">
        <x:f>IF(COUNTIF('Heatmap 169'!$A$2:$A$170,A523)&gt;0,"Yes","No")</x:f>
        <x:v>No</x:v>
      </x:c>
      <x:c r="F523" s="19" t="n">
        <x:f>COUNTIF(C523:E523,"Yes")</x:f>
        <x:v>1</x:v>
      </x:c>
      <x:c r="G523" s="10" t="str">
        <x:f>IF(F523=3,"All three",IF(F523=2,IF(C523="No","Volcano + heatmap",IF(D523="No","Colleague + heatmap","Colleague + volcano")),IF(C523="Yes","Colleague only",IF(D523="Yes","Volcano only","Heatmap only"))))</x:f>
        <x:v>Volcano only</x:v>
      </x:c>
      <x:c r="H523" s="10" t="str"/>
      <x:c r="I523" s="10" t="str"/>
      <x:c r="J523" s="10" t="str">
        <x:v>Detoxification / stress</x:v>
      </x:c>
      <x:c r="K523" s="10" t="str">
        <x:v>infection_diet83</x:v>
      </x:c>
      <x:c r="L523" s="10" t="str"/>
      <x:c r="M523" s="10" t="str"/>
      <x:c r="N523" s="10" t="str"/>
    </x:row>
    <x:row r="524">
      <x:c r="A524" s="10" t="str">
        <x:v>LOC126355691</x:v>
      </x:c>
      <x:c r="B524" s="10" t="str">
        <x:v>Vault protein inter-alpha-trypsin domain</x:v>
      </x:c>
      <x:c r="C524" s="19" t="str">
        <x:f>IF(COUNTIF('Colleague 115'!$A$2:$A$116,A524)&gt;0,"Yes","No")</x:f>
        <x:v>No</x:v>
      </x:c>
      <x:c r="D524" s="19" t="str">
        <x:f>IF(COUNTIF('Volcano 402'!$A$2:$A$403,A524)&gt;0,"Yes","No")</x:f>
        <x:v>No</x:v>
      </x:c>
      <x:c r="E524" s="19" t="str">
        <x:f>IF(COUNTIF('Heatmap 169'!$A$2:$A$170,A524)&gt;0,"Yes","No")</x:f>
        <x:v>Yes</x:v>
      </x:c>
      <x:c r="F524" s="19" t="n">
        <x:f>COUNTIF(C524:E524,"Yes")</x:f>
        <x:v>1</x:v>
      </x:c>
      <x:c r="G524" s="10" t="str">
        <x:f>IF(F524=3,"All three",IF(F524=2,IF(C524="No","Volcano + heatmap",IF(D524="No","Colleague + heatmap","Colleague + volcano")),IF(C524="Yes","Colleague only",IF(D524="Yes","Volcano only","Heatmap only"))))</x:f>
        <x:v>Heatmap only</x:v>
      </x:c>
      <x:c r="H524" s="10" t="str"/>
      <x:c r="I524" s="10" t="str"/>
      <x:c r="J524" s="10" t="str"/>
      <x:c r="K524" s="10" t="str"/>
      <x:c r="L524" s="10" t="str">
        <x:v>Functional candidate</x:v>
      </x:c>
      <x:c r="M524" s="10" t="str">
        <x:v>Nutrition/metabolism</x:v>
      </x:c>
      <x:c r="N524" s="10" t="str">
        <x:v>DEG</x:v>
      </x:c>
    </x:row>
    <x:row r="525">
      <x:c r="A525" s="10" t="str">
        <x:v>LOC126355818</x:v>
      </x:c>
      <x:c r="B525" s="10" t="str">
        <x:v>activity. It is involved in the biological process described with carbohydrate metabolic process</x:v>
      </x:c>
      <x:c r="C525" s="19" t="str">
        <x:f>IF(COUNTIF('Colleague 115'!$A$2:$A$116,A525)&gt;0,"Yes","No")</x:f>
        <x:v>No</x:v>
      </x:c>
      <x:c r="D525" s="19" t="str">
        <x:f>IF(COUNTIF('Volcano 402'!$A$2:$A$403,A525)&gt;0,"Yes","No")</x:f>
        <x:v>No</x:v>
      </x:c>
      <x:c r="E525" s="19" t="str">
        <x:f>IF(COUNTIF('Heatmap 169'!$A$2:$A$170,A525)&gt;0,"Yes","No")</x:f>
        <x:v>Yes</x:v>
      </x:c>
      <x:c r="F525" s="19" t="n">
        <x:f>COUNTIF(C525:E525,"Yes")</x:f>
        <x:v>1</x:v>
      </x:c>
      <x:c r="G525" s="10" t="str">
        <x:f>IF(F525=3,"All three",IF(F525=2,IF(C525="No","Volcano + heatmap",IF(D525="No","Colleague + heatmap","Colleague + volcano")),IF(C525="Yes","Colleague only",IF(D525="Yes","Volcano only","Heatmap only"))))</x:f>
        <x:v>Heatmap only</x:v>
      </x:c>
      <x:c r="H525" s="10" t="str"/>
      <x:c r="I525" s="10" t="str"/>
      <x:c r="J525" s="10" t="str"/>
      <x:c r="K525" s="10" t="str"/>
      <x:c r="L525" s="10" t="str">
        <x:v>Functional candidate</x:v>
      </x:c>
      <x:c r="M525" s="10" t="str">
        <x:v>Nutrition/metabolism</x:v>
      </x:c>
      <x:c r="N525" s="10" t="str">
        <x:v>Not DEG</x:v>
      </x:c>
    </x:row>
    <x:row r="526">
      <x:c r="A526" s="10" t="str">
        <x:v>LOC126355825</x:v>
      </x:c>
      <x:c r="B526" s="10" t="str">
        <x:v>peroxidase-like</x:v>
      </x:c>
      <x:c r="C526" s="19" t="str">
        <x:f>IF(COUNTIF('Colleague 115'!$A$2:$A$116,A526)&gt;0,"Yes","No")</x:f>
        <x:v>No</x:v>
      </x:c>
      <x:c r="D526" s="19" t="str">
        <x:f>IF(COUNTIF('Volcano 402'!$A$2:$A$403,A526)&gt;0,"Yes","No")</x:f>
        <x:v>Yes</x:v>
      </x:c>
      <x:c r="E526" s="19" t="str">
        <x:f>IF(COUNTIF('Heatmap 169'!$A$2:$A$170,A526)&gt;0,"Yes","No")</x:f>
        <x:v>No</x:v>
      </x:c>
      <x:c r="F526" s="19" t="n">
        <x:f>COUNTIF(C526:E526,"Yes")</x:f>
        <x:v>1</x:v>
      </x:c>
      <x:c r="G526" s="10" t="str">
        <x:f>IF(F526=3,"All three",IF(F526=2,IF(C526="No","Volcano + heatmap",IF(D526="No","Colleague + heatmap","Colleague + volcano")),IF(C526="Yes","Colleague only",IF(D526="Yes","Volcano only","Heatmap only"))))</x:f>
        <x:v>Volcano only</x:v>
      </x:c>
      <x:c r="H526" s="10" t="str"/>
      <x:c r="I526" s="10" t="str"/>
      <x:c r="J526" s="10" t="str">
        <x:v>Detoxification / stress</x:v>
      </x:c>
      <x:c r="K526" s="10" t="str">
        <x:v>infection_diet83</x:v>
      </x:c>
      <x:c r="L526" s="10" t="str"/>
      <x:c r="M526" s="10" t="str"/>
      <x:c r="N526" s="10" t="str"/>
    </x:row>
    <x:row r="527">
      <x:c r="A527" s="10" t="str">
        <x:v>LOC126355831</x:v>
      </x:c>
      <x:c r="B527" s="10" t="str">
        <x:v>heat shock protein 70 A1-like</x:v>
      </x:c>
      <x:c r="C527" s="19" t="str">
        <x:f>IF(COUNTIF('Colleague 115'!$A$2:$A$116,A527)&gt;0,"Yes","No")</x:f>
        <x:v>No</x:v>
      </x:c>
      <x:c r="D527" s="19" t="str">
        <x:f>IF(COUNTIF('Volcano 402'!$A$2:$A$403,A527)&gt;0,"Yes","No")</x:f>
        <x:v>Yes</x:v>
      </x:c>
      <x:c r="E527" s="19" t="str">
        <x:f>IF(COUNTIF('Heatmap 169'!$A$2:$A$170,A527)&gt;0,"Yes","No")</x:f>
        <x:v>No</x:v>
      </x:c>
      <x:c r="F527" s="19" t="n">
        <x:f>COUNTIF(C527:E527,"Yes")</x:f>
        <x:v>1</x:v>
      </x:c>
      <x:c r="G527" s="10" t="str">
        <x:f>IF(F527=3,"All three",IF(F527=2,IF(C527="No","Volcano + heatmap",IF(D527="No","Colleague + heatmap","Colleague + volcano")),IF(C527="Yes","Colleague only",IF(D527="Yes","Volcano only","Heatmap only"))))</x:f>
        <x:v>Volcano only</x:v>
      </x:c>
      <x:c r="H527" s="10" t="str"/>
      <x:c r="I527" s="10" t="str"/>
      <x:c r="J527" s="10" t="str">
        <x:v>Detoxification / stress</x:v>
      </x:c>
      <x:c r="K527" s="10" t="str">
        <x:v>infection_average_all_diets; infection_diet33; infection_diet50</x:v>
      </x:c>
      <x:c r="L527" s="10" t="str"/>
      <x:c r="M527" s="10" t="str"/>
      <x:c r="N527" s="10" t="str"/>
    </x:row>
    <x:row r="528">
      <x:c r="A528" s="10" t="str">
        <x:v>LOC126355838</x:v>
      </x:c>
      <x:c r="B528" s="10" t="str">
        <x:v>heat shock protein 70 A1-like</x:v>
      </x:c>
      <x:c r="C528" s="19" t="str">
        <x:f>IF(COUNTIF('Colleague 115'!$A$2:$A$116,A528)&gt;0,"Yes","No")</x:f>
        <x:v>No</x:v>
      </x:c>
      <x:c r="D528" s="19" t="str">
        <x:f>IF(COUNTIF('Volcano 402'!$A$2:$A$403,A528)&gt;0,"Yes","No")</x:f>
        <x:v>Yes</x:v>
      </x:c>
      <x:c r="E528" s="19" t="str">
        <x:f>IF(COUNTIF('Heatmap 169'!$A$2:$A$170,A528)&gt;0,"Yes","No")</x:f>
        <x:v>No</x:v>
      </x:c>
      <x:c r="F528" s="19" t="n">
        <x:f>COUNTIF(C528:E528,"Yes")</x:f>
        <x:v>1</x:v>
      </x:c>
      <x:c r="G528" s="10" t="str">
        <x:f>IF(F528=3,"All three",IF(F528=2,IF(C528="No","Volcano + heatmap",IF(D528="No","Colleague + heatmap","Colleague + volcano")),IF(C528="Yes","Colleague only",IF(D528="Yes","Volcano only","Heatmap only"))))</x:f>
        <x:v>Volcano only</x:v>
      </x:c>
      <x:c r="H528" s="10" t="str"/>
      <x:c r="I528" s="10" t="str"/>
      <x:c r="J528" s="10" t="str">
        <x:v>Detoxification / stress</x:v>
      </x:c>
      <x:c r="K528" s="10" t="str">
        <x:v>infection_average_all_diets; infection_diet33; infection_diet50</x:v>
      </x:c>
      <x:c r="L528" s="10" t="str"/>
      <x:c r="M528" s="10" t="str"/>
      <x:c r="N528" s="10" t="str"/>
    </x:row>
    <x:row r="529">
      <x:c r="A529" s="10" t="str">
        <x:v>LOC126355865</x:v>
      </x:c>
      <x:c r="B529" s="10" t="str">
        <x:v>uncharacterized LOC126355865</x:v>
      </x:c>
      <x:c r="C529" s="19" t="str">
        <x:f>IF(COUNTIF('Colleague 115'!$A$2:$A$116,A529)&gt;0,"Yes","No")</x:f>
        <x:v>No</x:v>
      </x:c>
      <x:c r="D529" s="19" t="str">
        <x:f>IF(COUNTIF('Volcano 402'!$A$2:$A$403,A529)&gt;0,"Yes","No")</x:f>
        <x:v>Yes</x:v>
      </x:c>
      <x:c r="E529" s="19" t="str">
        <x:f>IF(COUNTIF('Heatmap 169'!$A$2:$A$170,A529)&gt;0,"Yes","No")</x:f>
        <x:v>No</x:v>
      </x:c>
      <x:c r="F529" s="19" t="n">
        <x:f>COUNTIF(C529:E529,"Yes")</x:f>
        <x:v>1</x:v>
      </x:c>
      <x:c r="G529" s="10" t="str">
        <x:f>IF(F529=3,"All three",IF(F529=2,IF(C529="No","Volcano + heatmap",IF(D529="No","Colleague + heatmap","Colleague + volcano")),IF(C529="Yes","Colleague only",IF(D529="Yes","Volcano only","Heatmap only"))))</x:f>
        <x:v>Volcano only</x:v>
      </x:c>
      <x:c r="H529" s="10" t="str"/>
      <x:c r="I529" s="10" t="str"/>
      <x:c r="J529" s="10" t="str">
        <x:v>Immune-related</x:v>
      </x:c>
      <x:c r="K529" s="10" t="str">
        <x:v>infection_diet50</x:v>
      </x:c>
      <x:c r="L529" s="10" t="str"/>
      <x:c r="M529" s="10" t="str"/>
      <x:c r="N529" s="10" t="str"/>
    </x:row>
    <x:row r="530">
      <x:c r="A530" s="10" t="str">
        <x:v>LOC126355885</x:v>
      </x:c>
      <x:c r="B530" s="10" t="str">
        <x:v>Pyridoxamine 5'-phosphate oxidase</x:v>
      </x:c>
      <x:c r="C530" s="19" t="str">
        <x:f>IF(COUNTIF('Colleague 115'!$A$2:$A$116,A530)&gt;0,"Yes","No")</x:f>
        <x:v>No</x:v>
      </x:c>
      <x:c r="D530" s="19" t="str">
        <x:f>IF(COUNTIF('Volcano 402'!$A$2:$A$403,A530)&gt;0,"Yes","No")</x:f>
        <x:v>No</x:v>
      </x:c>
      <x:c r="E530" s="19" t="str">
        <x:f>IF(COUNTIF('Heatmap 169'!$A$2:$A$170,A530)&gt;0,"Yes","No")</x:f>
        <x:v>Yes</x:v>
      </x:c>
      <x:c r="F530" s="19" t="n">
        <x:f>COUNTIF(C530:E530,"Yes")</x:f>
        <x:v>1</x:v>
      </x:c>
      <x:c r="G530" s="10" t="str">
        <x:f>IF(F530=3,"All three",IF(F530=2,IF(C530="No","Volcano + heatmap",IF(D530="No","Colleague + heatmap","Colleague + volcano")),IF(C530="Yes","Colleague only",IF(D530="Yes","Volcano only","Heatmap only"))))</x:f>
        <x:v>Heatmap only</x:v>
      </x:c>
      <x:c r="H530" s="10" t="str"/>
      <x:c r="I530" s="10" t="str"/>
      <x:c r="J530" s="10" t="str"/>
      <x:c r="K530" s="10" t="str"/>
      <x:c r="L530" s="10" t="str">
        <x:v>Top DEG</x:v>
      </x:c>
      <x:c r="M530" s="10" t="str">
        <x:v>Other strong DEG</x:v>
      </x:c>
      <x:c r="N530" s="10" t="str">
        <x:v>DEG</x:v>
      </x:c>
    </x:row>
    <x:row r="531">
      <x:c r="A531" s="10" t="str">
        <x:v>LOC126355939</x:v>
      </x:c>
      <x:c r="B531" s="10" t="str">
        <x:v>proton-coupled amino acid transporter-like protein pathetic</x:v>
      </x:c>
      <x:c r="C531" s="19" t="str">
        <x:f>IF(COUNTIF('Colleague 115'!$A$2:$A$116,A531)&gt;0,"Yes","No")</x:f>
        <x:v>Yes</x:v>
      </x:c>
      <x:c r="D531" s="19" t="str">
        <x:f>IF(COUNTIF('Volcano 402'!$A$2:$A$403,A531)&gt;0,"Yes","No")</x:f>
        <x:v>No</x:v>
      </x:c>
      <x:c r="E531" s="19" t="str">
        <x:f>IF(COUNTIF('Heatmap 169'!$A$2:$A$170,A531)&gt;0,"Yes","No")</x:f>
        <x:v>Yes</x:v>
      </x:c>
      <x:c r="F531" s="19" t="n">
        <x:f>COUNTIF(C531:E531,"Yes")</x:f>
        <x:v>2</x:v>
      </x:c>
      <x:c r="G531" s="10" t="str">
        <x:f>IF(F531=3,"All three",IF(F531=2,IF(C531="No","Volcano + heatmap",IF(D531="No","Colleague + heatmap","Colleague + volcano")),IF(C531="Yes","Colleague only",IF(D531="Yes","Volcano only","Heatmap only"))))</x:f>
        <x:v>Colleague + heatmap</x:v>
      </x:c>
      <x:c r="H531" s="10" t="str">
        <x:v>Nitrogen, Amino Acid Transport &amp; Metabolism</x:v>
      </x:c>
      <x:c r="I531" s="10" t="str">
        <x:v>Proton-Coupled &amp; Auxiliary Amino Acid Transporters</x:v>
      </x:c>
      <x:c r="J531" s="10" t="str"/>
      <x:c r="K531" s="10" t="str"/>
      <x:c r="L531" s="10" t="str">
        <x:v>Top DEG</x:v>
      </x:c>
      <x:c r="M531" s="10" t="str">
        <x:v>Nutrition/metabolism</x:v>
      </x:c>
      <x:c r="N531" s="10" t="str">
        <x:v>DEG</x:v>
      </x:c>
    </x:row>
    <x:row r="532">
      <x:c r="A532" s="10" t="str">
        <x:v>LOC126355940</x:v>
      </x:c>
      <x:c r="B532" s="10" t="str">
        <x:v>proton-coupled amino acid transporter-like protein CG1139</x:v>
      </x:c>
      <x:c r="C532" s="19" t="str">
        <x:f>IF(COUNTIF('Colleague 115'!$A$2:$A$116,A532)&gt;0,"Yes","No")</x:f>
        <x:v>Yes</x:v>
      </x:c>
      <x:c r="D532" s="19" t="str">
        <x:f>IF(COUNTIF('Volcano 402'!$A$2:$A$403,A532)&gt;0,"Yes","No")</x:f>
        <x:v>No</x:v>
      </x:c>
      <x:c r="E532" s="19" t="str">
        <x:f>IF(COUNTIF('Heatmap 169'!$A$2:$A$170,A532)&gt;0,"Yes","No")</x:f>
        <x:v>Yes</x:v>
      </x:c>
      <x:c r="F532" s="19" t="n">
        <x:f>COUNTIF(C532:E532,"Yes")</x:f>
        <x:v>2</x:v>
      </x:c>
      <x:c r="G532" s="10" t="str">
        <x:f>IF(F532=3,"All three",IF(F532=2,IF(C532="No","Volcano + heatmap",IF(D532="No","Colleague + heatmap","Colleague + volcano")),IF(C532="Yes","Colleague only",IF(D532="Yes","Volcano only","Heatmap only"))))</x:f>
        <x:v>Colleague + heatmap</x:v>
      </x:c>
      <x:c r="H532" s="10" t="str">
        <x:v>Nitrogen, Amino Acid Transport &amp; Metabolism</x:v>
      </x:c>
      <x:c r="I532" s="10" t="str">
        <x:v>Proton-Coupled &amp; Auxiliary Amino Acid Transporters</x:v>
      </x:c>
      <x:c r="J532" s="10" t="str"/>
      <x:c r="K532" s="10" t="str"/>
      <x:c r="L532" s="10" t="str">
        <x:v>Functional candidate</x:v>
      </x:c>
      <x:c r="M532" s="10" t="str">
        <x:v>Nutrition/metabolism</x:v>
      </x:c>
      <x:c r="N532" s="10" t="str">
        <x:v>DEG</x:v>
      </x:c>
    </x:row>
    <x:row r="533">
      <x:c r="A533" s="10" t="str">
        <x:v>LOC126355941</x:v>
      </x:c>
      <x:c r="B533" s="10" t="str">
        <x:v>juvenile hormone esterase-like</x:v>
      </x:c>
      <x:c r="C533" s="19" t="str">
        <x:f>IF(COUNTIF('Colleague 115'!$A$2:$A$116,A533)&gt;0,"Yes","No")</x:f>
        <x:v>No</x:v>
      </x:c>
      <x:c r="D533" s="19" t="str">
        <x:f>IF(COUNTIF('Volcano 402'!$A$2:$A$403,A533)&gt;0,"Yes","No")</x:f>
        <x:v>Yes</x:v>
      </x:c>
      <x:c r="E533" s="19" t="str">
        <x:f>IF(COUNTIF('Heatmap 169'!$A$2:$A$170,A533)&gt;0,"Yes","No")</x:f>
        <x:v>No</x:v>
      </x:c>
      <x:c r="F533" s="19" t="n">
        <x:f>COUNTIF(C533:E533,"Yes")</x:f>
        <x:v>1</x:v>
      </x:c>
      <x:c r="G533" s="10" t="str">
        <x:f>IF(F533=3,"All three",IF(F533=2,IF(C533="No","Volcano + heatmap",IF(D533="No","Colleague + heatmap","Colleague + volcano")),IF(C533="Yes","Colleague only",IF(D533="Yes","Volcano only","Heatmap only"))))</x:f>
        <x:v>Volcano only</x:v>
      </x:c>
      <x:c r="H533" s="10" t="str"/>
      <x:c r="I533" s="10" t="str"/>
      <x:c r="J533" s="10" t="str">
        <x:v>Lipid synthesis / metabolism</x:v>
      </x:c>
      <x:c r="K533" s="10" t="str">
        <x:v>infection_average_all_diets; infection_diet33; infection_diet50</x:v>
      </x:c>
      <x:c r="L533" s="10" t="str"/>
      <x:c r="M533" s="10" t="str"/>
      <x:c r="N533" s="10" t="str"/>
    </x:row>
    <x:row r="534">
      <x:c r="A534" s="10" t="str">
        <x:v>LOC126355944</x:v>
      </x:c>
      <x:c r="B534" s="10" t="str">
        <x:v>juvenile hormone esterase-like</x:v>
      </x:c>
      <x:c r="C534" s="19" t="str">
        <x:f>IF(COUNTIF('Colleague 115'!$A$2:$A$116,A534)&gt;0,"Yes","No")</x:f>
        <x:v>No</x:v>
      </x:c>
      <x:c r="D534" s="19" t="str">
        <x:f>IF(COUNTIF('Volcano 402'!$A$2:$A$403,A534)&gt;0,"Yes","No")</x:f>
        <x:v>Yes</x:v>
      </x:c>
      <x:c r="E534" s="19" t="str">
        <x:f>IF(COUNTIF('Heatmap 169'!$A$2:$A$170,A534)&gt;0,"Yes","No")</x:f>
        <x:v>No</x:v>
      </x:c>
      <x:c r="F534" s="19" t="n">
        <x:f>COUNTIF(C534:E534,"Yes")</x:f>
        <x:v>1</x:v>
      </x:c>
      <x:c r="G534" s="10" t="str">
        <x:f>IF(F534=3,"All three",IF(F534=2,IF(C534="No","Volcano + heatmap",IF(D534="No","Colleague + heatmap","Colleague + volcano")),IF(C534="Yes","Colleague only",IF(D534="Yes","Volcano only","Heatmap only"))))</x:f>
        <x:v>Volcano only</x:v>
      </x:c>
      <x:c r="H534" s="10" t="str"/>
      <x:c r="I534" s="10" t="str"/>
      <x:c r="J534" s="10" t="str">
        <x:v>Lipid synthesis / metabolism</x:v>
      </x:c>
      <x:c r="K534" s="10" t="str">
        <x:v>infection_average_all_diets; infection_diet33; infection_diet50</x:v>
      </x:c>
      <x:c r="L534" s="10" t="str"/>
      <x:c r="M534" s="10" t="str"/>
      <x:c r="N534" s="10" t="str"/>
    </x:row>
    <x:row r="535">
      <x:c r="A535" s="10" t="str">
        <x:v>LOC126355964</x:v>
      </x:c>
      <x:c r="B535" s="10" t="str">
        <x:v>It is involved in the biological process described with metabolic process</x:v>
      </x:c>
      <x:c r="C535" s="19" t="str">
        <x:f>IF(COUNTIF('Colleague 115'!$A$2:$A$116,A535)&gt;0,"Yes","No")</x:f>
        <x:v>No</x:v>
      </x:c>
      <x:c r="D535" s="19" t="str">
        <x:f>IF(COUNTIF('Volcano 402'!$A$2:$A$403,A535)&gt;0,"Yes","No")</x:f>
        <x:v>No</x:v>
      </x:c>
      <x:c r="E535" s="19" t="str">
        <x:f>IF(COUNTIF('Heatmap 169'!$A$2:$A$170,A535)&gt;0,"Yes","No")</x:f>
        <x:v>Yes</x:v>
      </x:c>
      <x:c r="F535" s="19" t="n">
        <x:f>COUNTIF(C535:E535,"Yes")</x:f>
        <x:v>1</x:v>
      </x:c>
      <x:c r="G535" s="10" t="str">
        <x:f>IF(F535=3,"All three",IF(F535=2,IF(C535="No","Volcano + heatmap",IF(D535="No","Colleague + heatmap","Colleague + volcano")),IF(C535="Yes","Colleague only",IF(D535="Yes","Volcano only","Heatmap only"))))</x:f>
        <x:v>Heatmap only</x:v>
      </x:c>
      <x:c r="H535" s="10" t="str"/>
      <x:c r="I535" s="10" t="str"/>
      <x:c r="J535" s="10" t="str"/>
      <x:c r="K535" s="10" t="str"/>
      <x:c r="L535" s="10" t="str">
        <x:v>Functional candidate</x:v>
      </x:c>
      <x:c r="M535" s="10" t="str">
        <x:v>Nutrition/metabolism</x:v>
      </x:c>
      <x:c r="N535" s="10" t="str">
        <x:v>Not DEG</x:v>
      </x:c>
    </x:row>
    <x:row r="536">
      <x:c r="A536" s="10" t="str">
        <x:v>LOC126355971</x:v>
      </x:c>
      <x:c r="B536" s="10" t="str">
        <x:v>Belongs to the type-B carboxylesterase lipase family</x:v>
      </x:c>
      <x:c r="C536" s="19" t="str">
        <x:f>IF(COUNTIF('Colleague 115'!$A$2:$A$116,A536)&gt;0,"Yes","No")</x:f>
        <x:v>No</x:v>
      </x:c>
      <x:c r="D536" s="19" t="str">
        <x:f>IF(COUNTIF('Volcano 402'!$A$2:$A$403,A536)&gt;0,"Yes","No")</x:f>
        <x:v>No</x:v>
      </x:c>
      <x:c r="E536" s="19" t="str">
        <x:f>IF(COUNTIF('Heatmap 169'!$A$2:$A$170,A536)&gt;0,"Yes","No")</x:f>
        <x:v>Yes</x:v>
      </x:c>
      <x:c r="F536" s="19" t="n">
        <x:f>COUNTIF(C536:E536,"Yes")</x:f>
        <x:v>1</x:v>
      </x:c>
      <x:c r="G536" s="10" t="str">
        <x:f>IF(F536=3,"All three",IF(F536=2,IF(C536="No","Volcano + heatmap",IF(D536="No","Colleague + heatmap","Colleague + volcano")),IF(C536="Yes","Colleague only",IF(D536="Yes","Volcano only","Heatmap only"))))</x:f>
        <x:v>Heatmap only</x:v>
      </x:c>
      <x:c r="H536" s="10" t="str"/>
      <x:c r="I536" s="10" t="str"/>
      <x:c r="J536" s="10" t="str"/>
      <x:c r="K536" s="10" t="str"/>
      <x:c r="L536" s="10" t="str">
        <x:v>Functional candidate</x:v>
      </x:c>
      <x:c r="M536" s="10" t="str">
        <x:v>Nutrition/metabolism</x:v>
      </x:c>
      <x:c r="N536" s="10" t="str">
        <x:v>Not DEG</x:v>
      </x:c>
    </x:row>
    <x:row r="537">
      <x:c r="A537" s="10" t="str">
        <x:v>LOC126355972</x:v>
      </x:c>
      <x:c r="B537" s="10" t="str">
        <x:v>Belongs to the type-B carboxylesterase lipase family</x:v>
      </x:c>
      <x:c r="C537" s="19" t="str">
        <x:f>IF(COUNTIF('Colleague 115'!$A$2:$A$116,A537)&gt;0,"Yes","No")</x:f>
        <x:v>No</x:v>
      </x:c>
      <x:c r="D537" s="19" t="str">
        <x:f>IF(COUNTIF('Volcano 402'!$A$2:$A$403,A537)&gt;0,"Yes","No")</x:f>
        <x:v>No</x:v>
      </x:c>
      <x:c r="E537" s="19" t="str">
        <x:f>IF(COUNTIF('Heatmap 169'!$A$2:$A$170,A537)&gt;0,"Yes","No")</x:f>
        <x:v>Yes</x:v>
      </x:c>
      <x:c r="F537" s="19" t="n">
        <x:f>COUNTIF(C537:E537,"Yes")</x:f>
        <x:v>1</x:v>
      </x:c>
      <x:c r="G537" s="10" t="str">
        <x:f>IF(F537=3,"All three",IF(F537=2,IF(C537="No","Volcano + heatmap",IF(D537="No","Colleague + heatmap","Colleague + volcano")),IF(C537="Yes","Colleague only",IF(D537="Yes","Volcano only","Heatmap only"))))</x:f>
        <x:v>Heatmap only</x:v>
      </x:c>
      <x:c r="H537" s="10" t="str"/>
      <x:c r="I537" s="10" t="str"/>
      <x:c r="J537" s="10" t="str"/>
      <x:c r="K537" s="10" t="str"/>
      <x:c r="L537" s="10" t="str">
        <x:v>Functional candidate</x:v>
      </x:c>
      <x:c r="M537" s="10" t="str">
        <x:v>Nutrition/metabolism</x:v>
      </x:c>
      <x:c r="N537" s="10" t="str">
        <x:v>Not DEG</x:v>
      </x:c>
    </x:row>
    <x:row r="538">
      <x:c r="A538" s="10" t="str">
        <x:v>LOC126356075</x:v>
      </x:c>
      <x:c r="B538" s="10" t="str">
        <x:v>NADH-ubiquinone oxidoreductase chain 5-like</x:v>
      </x:c>
      <x:c r="C538" s="19" t="str">
        <x:f>IF(COUNTIF('Colleague 115'!$A$2:$A$116,A538)&gt;0,"Yes","No")</x:f>
        <x:v>No</x:v>
      </x:c>
      <x:c r="D538" s="19" t="str">
        <x:f>IF(COUNTIF('Volcano 402'!$A$2:$A$403,A538)&gt;0,"Yes","No")</x:f>
        <x:v>Yes</x:v>
      </x:c>
      <x:c r="E538" s="19" t="str">
        <x:f>IF(COUNTIF('Heatmap 169'!$A$2:$A$170,A538)&gt;0,"Yes","No")</x:f>
        <x:v>No</x:v>
      </x:c>
      <x:c r="F538" s="19" t="n">
        <x:f>COUNTIF(C538:E538,"Yes")</x:f>
        <x:v>1</x:v>
      </x:c>
      <x:c r="G538" s="10" t="str">
        <x:f>IF(F538=3,"All three",IF(F538=2,IF(C538="No","Volcano + heatmap",IF(D538="No","Colleague + heatmap","Colleague + volcano")),IF(C538="Yes","Colleague only",IF(D538="Yes","Volcano only","Heatmap only"))))</x:f>
        <x:v>Volcano only</x:v>
      </x:c>
      <x:c r="H538" s="10" t="str"/>
      <x:c r="I538" s="10" t="str"/>
      <x:c r="J538" s="10" t="str">
        <x:v>Detoxification / stress</x:v>
      </x:c>
      <x:c r="K538" s="10" t="str">
        <x:v>infection_average_all_diets; infection_diet33; infection_diet50; infection_diet83</x:v>
      </x:c>
      <x:c r="L538" s="10" t="str"/>
      <x:c r="M538" s="10" t="str"/>
      <x:c r="N538" s="10" t="str"/>
    </x:row>
    <x:row r="539">
      <x:c r="A539" s="10" t="str">
        <x:v>LOC126356100</x:v>
      </x:c>
      <x:c r="B539" s="10" t="str">
        <x:v>glycerol-3-phosphate acyltransferase 1, mitochondrial</x:v>
      </x:c>
      <x:c r="C539" s="19" t="str">
        <x:f>IF(COUNTIF('Colleague 115'!$A$2:$A$116,A539)&gt;0,"Yes","No")</x:f>
        <x:v>No</x:v>
      </x:c>
      <x:c r="D539" s="19" t="str">
        <x:f>IF(COUNTIF('Volcano 402'!$A$2:$A$403,A539)&gt;0,"Yes","No")</x:f>
        <x:v>Yes</x:v>
      </x:c>
      <x:c r="E539" s="19" t="str">
        <x:f>IF(COUNTIF('Heatmap 169'!$A$2:$A$170,A539)&gt;0,"Yes","No")</x:f>
        <x:v>No</x:v>
      </x:c>
      <x:c r="F539" s="19" t="n">
        <x:f>COUNTIF(C539:E539,"Yes")</x:f>
        <x:v>1</x:v>
      </x:c>
      <x:c r="G539" s="10" t="str">
        <x:f>IF(F539=3,"All three",IF(F539=2,IF(C539="No","Volcano + heatmap",IF(D539="No","Colleague + heatmap","Colleague + volcano")),IF(C539="Yes","Colleague only",IF(D539="Yes","Volcano only","Heatmap only"))))</x:f>
        <x:v>Volcano only</x:v>
      </x:c>
      <x:c r="H539" s="10" t="str"/>
      <x:c r="I539" s="10" t="str"/>
      <x:c r="J539" s="10" t="str">
        <x:v>Lipid synthesis / metabolism</x:v>
      </x:c>
      <x:c r="K539" s="10" t="str">
        <x:v>infection_diet50</x:v>
      </x:c>
      <x:c r="L539" s="10" t="str"/>
      <x:c r="M539" s="10" t="str"/>
      <x:c r="N539" s="10" t="str"/>
    </x:row>
    <x:row r="540">
      <x:c r="A540" s="10" t="str">
        <x:v>LOC126356127</x:v>
      </x:c>
      <x:c r="B540" s="10" t="str">
        <x:v>cholinesterase-like</x:v>
      </x:c>
      <x:c r="C540" s="19" t="str">
        <x:f>IF(COUNTIF('Colleague 115'!$A$2:$A$116,A540)&gt;0,"Yes","No")</x:f>
        <x:v>No</x:v>
      </x:c>
      <x:c r="D540" s="19" t="str">
        <x:f>IF(COUNTIF('Volcano 402'!$A$2:$A$403,A540)&gt;0,"Yes","No")</x:f>
        <x:v>Yes</x:v>
      </x:c>
      <x:c r="E540" s="19" t="str">
        <x:f>IF(COUNTIF('Heatmap 169'!$A$2:$A$170,A540)&gt;0,"Yes","No")</x:f>
        <x:v>No</x:v>
      </x:c>
      <x:c r="F540" s="19" t="n">
        <x:f>COUNTIF(C540:E540,"Yes")</x:f>
        <x:v>1</x:v>
      </x:c>
      <x:c r="G540" s="10" t="str">
        <x:f>IF(F540=3,"All three",IF(F540=2,IF(C540="No","Volcano + heatmap",IF(D540="No","Colleague + heatmap","Colleague + volcano")),IF(C540="Yes","Colleague only",IF(D540="Yes","Volcano only","Heatmap only"))))</x:f>
        <x:v>Volcano only</x:v>
      </x:c>
      <x:c r="H540" s="10" t="str"/>
      <x:c r="I540" s="10" t="str"/>
      <x:c r="J540" s="10" t="str">
        <x:v>Lipid synthesis / metabolism</x:v>
      </x:c>
      <x:c r="K540" s="10" t="str">
        <x:v>infection_average_all_diets</x:v>
      </x:c>
      <x:c r="L540" s="10" t="str"/>
      <x:c r="M540" s="10" t="str"/>
      <x:c r="N540" s="10" t="str"/>
    </x:row>
    <x:row r="541">
      <x:c r="A541" s="10" t="str">
        <x:v>LOC126356204</x:v>
      </x:c>
      <x:c r="B541" s="10" t="str">
        <x:v>zwittermicin A synthase ZmaJ</x:v>
      </x:c>
      <x:c r="C541" s="19" t="str">
        <x:f>IF(COUNTIF('Colleague 115'!$A$2:$A$116,A541)&gt;0,"Yes","No")</x:f>
        <x:v>No</x:v>
      </x:c>
      <x:c r="D541" s="19" t="str">
        <x:f>IF(COUNTIF('Volcano 402'!$A$2:$A$403,A541)&gt;0,"Yes","No")</x:f>
        <x:v>Yes</x:v>
      </x:c>
      <x:c r="E541" s="19" t="str">
        <x:f>IF(COUNTIF('Heatmap 169'!$A$2:$A$170,A541)&gt;0,"Yes","No")</x:f>
        <x:v>No</x:v>
      </x:c>
      <x:c r="F541" s="19" t="n">
        <x:f>COUNTIF(C541:E541,"Yes")</x:f>
        <x:v>1</x:v>
      </x:c>
      <x:c r="G541" s="10" t="str">
        <x:f>IF(F541=3,"All three",IF(F541=2,IF(C541="No","Volcano + heatmap",IF(D541="No","Colleague + heatmap","Colleague + volcano")),IF(C541="Yes","Colleague only",IF(D541="Yes","Volcano only","Heatmap only"))))</x:f>
        <x:v>Volcano only</x:v>
      </x:c>
      <x:c r="H541" s="10" t="str"/>
      <x:c r="I541" s="10" t="str"/>
      <x:c r="J541" s="10" t="str">
        <x:v>Antimicrobial peptides</x:v>
      </x:c>
      <x:c r="K541" s="10" t="str">
        <x:v>infection_average_all_diets; infection_diet33; infection_diet50; infection_diet83</x:v>
      </x:c>
      <x:c r="L541" s="10" t="str"/>
      <x:c r="M541" s="10" t="str"/>
      <x:c r="N541" s="10" t="str"/>
    </x:row>
    <x:row r="542">
      <x:c r="A542" s="10" t="str">
        <x:v>LOC126356215</x:v>
      </x:c>
      <x:c r="B542" s="10" t="str">
        <x:v>cholinesterase-like</x:v>
      </x:c>
      <x:c r="C542" s="19" t="str">
        <x:f>IF(COUNTIF('Colleague 115'!$A$2:$A$116,A542)&gt;0,"Yes","No")</x:f>
        <x:v>No</x:v>
      </x:c>
      <x:c r="D542" s="19" t="str">
        <x:f>IF(COUNTIF('Volcano 402'!$A$2:$A$403,A542)&gt;0,"Yes","No")</x:f>
        <x:v>Yes</x:v>
      </x:c>
      <x:c r="E542" s="19" t="str">
        <x:f>IF(COUNTIF('Heatmap 169'!$A$2:$A$170,A542)&gt;0,"Yes","No")</x:f>
        <x:v>No</x:v>
      </x:c>
      <x:c r="F542" s="19" t="n">
        <x:f>COUNTIF(C542:E542,"Yes")</x:f>
        <x:v>1</x:v>
      </x:c>
      <x:c r="G542" s="10" t="str">
        <x:f>IF(F542=3,"All three",IF(F542=2,IF(C542="No","Volcano + heatmap",IF(D542="No","Colleague + heatmap","Colleague + volcano")),IF(C542="Yes","Colleague only",IF(D542="Yes","Volcano only","Heatmap only"))))</x:f>
        <x:v>Volcano only</x:v>
      </x:c>
      <x:c r="H542" s="10" t="str"/>
      <x:c r="I542" s="10" t="str"/>
      <x:c r="J542" s="10" t="str">
        <x:v>Lipid synthesis / metabolism</x:v>
      </x:c>
      <x:c r="K542" s="10" t="str">
        <x:v>infection_average_all_diets; infection_diet33; infection_diet50; infection_diet83</x:v>
      </x:c>
      <x:c r="L542" s="10" t="str"/>
      <x:c r="M542" s="10" t="str"/>
      <x:c r="N542" s="10" t="str"/>
    </x:row>
    <x:row r="543">
      <x:c r="A543" s="10" t="str">
        <x:v>LOC126356285</x:v>
      </x:c>
      <x:c r="B543" s="10" t="str">
        <x:v>toll-like receptor 2</x:v>
      </x:c>
      <x:c r="C543" s="19" t="str">
        <x:f>IF(COUNTIF('Colleague 115'!$A$2:$A$116,A543)&gt;0,"Yes","No")</x:f>
        <x:v>Yes</x:v>
      </x:c>
      <x:c r="D543" s="19" t="str">
        <x:f>IF(COUNTIF('Volcano 402'!$A$2:$A$403,A543)&gt;0,"Yes","No")</x:f>
        <x:v>Yes</x:v>
      </x:c>
      <x:c r="E543" s="19" t="str">
        <x:f>IF(COUNTIF('Heatmap 169'!$A$2:$A$170,A543)&gt;0,"Yes","No")</x:f>
        <x:v>No</x:v>
      </x:c>
      <x:c r="F543" s="19" t="n">
        <x:f>COUNTIF(C543:E543,"Yes")</x:f>
        <x:v>2</x:v>
      </x:c>
      <x:c r="G543" s="10" t="str">
        <x:f>IF(F543=3,"All three",IF(F543=2,IF(C543="No","Volcano + heatmap",IF(D543="No","Colleague + heatmap","Colleague + volcano")),IF(C543="Yes","Colleague only",IF(D543="Yes","Volcano only","Heatmap only"))))</x:f>
        <x:v>Colleague + volcano</x:v>
      </x:c>
      <x:c r="H543" s="10" t="str">
        <x:v>Innate Immune Recognition &amp; Signaling</x:v>
      </x:c>
      <x:c r="I543" s="10" t="str">
        <x:v>Immune Activation &amp; Sensing (Toll/JAK-STAT/NF-κB)</x:v>
      </x:c>
      <x:c r="J543" s="10" t="str">
        <x:v>Immune-related</x:v>
      </x:c>
      <x:c r="K543" s="10" t="str">
        <x:v>infection_average_all_diets; infection_diet33; infection_diet50; infection_diet83</x:v>
      </x:c>
      <x:c r="L543" s="10" t="str"/>
      <x:c r="M543" s="10" t="str"/>
      <x:c r="N543" s="10" t="str"/>
    </x:row>
    <x:row r="544">
      <x:c r="A544" s="10" t="str">
        <x:v>LOC126356362</x:v>
      </x:c>
      <x:c r="B544" s="10" t="str">
        <x:v>-</x:v>
      </x:c>
      <x:c r="C544" s="19" t="str">
        <x:f>IF(COUNTIF('Colleague 115'!$A$2:$A$116,A544)&gt;0,"Yes","No")</x:f>
        <x:v>No</x:v>
      </x:c>
      <x:c r="D544" s="19" t="str">
        <x:f>IF(COUNTIF('Volcano 402'!$A$2:$A$403,A544)&gt;0,"Yes","No")</x:f>
        <x:v>No</x:v>
      </x:c>
      <x:c r="E544" s="19" t="str">
        <x:f>IF(COUNTIF('Heatmap 169'!$A$2:$A$170,A544)&gt;0,"Yes","No")</x:f>
        <x:v>Yes</x:v>
      </x:c>
      <x:c r="F544" s="19" t="n">
        <x:f>COUNTIF(C544:E544,"Yes")</x:f>
        <x:v>1</x:v>
      </x:c>
      <x:c r="G544" s="10" t="str">
        <x:f>IF(F544=3,"All three",IF(F544=2,IF(C544="No","Volcano + heatmap",IF(D544="No","Colleague + heatmap","Colleague + volcano")),IF(C544="Yes","Colleague only",IF(D544="Yes","Volcano only","Heatmap only"))))</x:f>
        <x:v>Heatmap only</x:v>
      </x:c>
      <x:c r="H544" s="10" t="str"/>
      <x:c r="I544" s="10" t="str"/>
      <x:c r="J544" s="10" t="str"/>
      <x:c r="K544" s="10" t="str"/>
      <x:c r="L544" s="10" t="str">
        <x:v>Top DEG</x:v>
      </x:c>
      <x:c r="M544" s="10" t="str">
        <x:v>Other strong DEG</x:v>
      </x:c>
      <x:c r="N544" s="10" t="str">
        <x:v>DEG</x:v>
      </x:c>
    </x:row>
    <x:row r="545">
      <x:c r="A545" s="10" t="str">
        <x:v>LOC126356371</x:v>
      </x:c>
      <x:c r="B545" s="10" t="str">
        <x:v>fatty acid synthase</x:v>
      </x:c>
      <x:c r="C545" s="19" t="str">
        <x:f>IF(COUNTIF('Colleague 115'!$A$2:$A$116,A545)&gt;0,"Yes","No")</x:f>
        <x:v>No</x:v>
      </x:c>
      <x:c r="D545" s="19" t="str">
        <x:f>IF(COUNTIF('Volcano 402'!$A$2:$A$403,A545)&gt;0,"Yes","No")</x:f>
        <x:v>Yes</x:v>
      </x:c>
      <x:c r="E545" s="19" t="str">
        <x:f>IF(COUNTIF('Heatmap 169'!$A$2:$A$170,A545)&gt;0,"Yes","No")</x:f>
        <x:v>No</x:v>
      </x:c>
      <x:c r="F545" s="19" t="n">
        <x:f>COUNTIF(C545:E545,"Yes")</x:f>
        <x:v>1</x:v>
      </x:c>
      <x:c r="G545" s="10" t="str">
        <x:f>IF(F545=3,"All three",IF(F545=2,IF(C545="No","Volcano + heatmap",IF(D545="No","Colleague + heatmap","Colleague + volcano")),IF(C545="Yes","Colleague only",IF(D545="Yes","Volcano only","Heatmap only"))))</x:f>
        <x:v>Volcano only</x:v>
      </x:c>
      <x:c r="H545" s="10" t="str"/>
      <x:c r="I545" s="10" t="str"/>
      <x:c r="J545" s="10" t="str">
        <x:v>Lipid synthesis / metabolism</x:v>
      </x:c>
      <x:c r="K545" s="10" t="str">
        <x:v>infection_average_all_diets; infection_diet33; infection_diet50</x:v>
      </x:c>
      <x:c r="L545" s="10" t="str"/>
      <x:c r="M545" s="10" t="str"/>
      <x:c r="N545" s="10" t="str"/>
    </x:row>
    <x:row r="546">
      <x:c r="A546" s="10" t="str">
        <x:v>LOC126358175</x:v>
      </x:c>
      <x:c r="B546" s="10" t="str"/>
      <x:c r="C546" s="19" t="str">
        <x:f>IF(COUNTIF('Colleague 115'!$A$2:$A$116,A546)&gt;0,"Yes","No")</x:f>
        <x:v>No</x:v>
      </x:c>
      <x:c r="D546" s="19" t="str">
        <x:f>IF(COUNTIF('Volcano 402'!$A$2:$A$403,A546)&gt;0,"Yes","No")</x:f>
        <x:v>No</x:v>
      </x:c>
      <x:c r="E546" s="19" t="str">
        <x:f>IF(COUNTIF('Heatmap 169'!$A$2:$A$170,A546)&gt;0,"Yes","No")</x:f>
        <x:v>Yes</x:v>
      </x:c>
      <x:c r="F546" s="19" t="n">
        <x:f>COUNTIF(C546:E546,"Yes")</x:f>
        <x:v>1</x:v>
      </x:c>
      <x:c r="G546" s="10" t="str">
        <x:f>IF(F546=3,"All three",IF(F546=2,IF(C546="No","Volcano + heatmap",IF(D546="No","Colleague + heatmap","Colleague + volcano")),IF(C546="Yes","Colleague only",IF(D546="Yes","Volcano only","Heatmap only"))))</x:f>
        <x:v>Heatmap only</x:v>
      </x:c>
      <x:c r="H546" s="10" t="str"/>
      <x:c r="I546" s="10" t="str"/>
      <x:c r="J546" s="10" t="str"/>
      <x:c r="K546" s="10" t="str"/>
      <x:c r="L546" s="10" t="str">
        <x:v>Top DEG</x:v>
      </x:c>
      <x:c r="M546" s="10" t="str">
        <x:v>Other strong DEG</x:v>
      </x:c>
      <x:c r="N546" s="10" t="str">
        <x:v>DEG</x:v>
      </x:c>
    </x:row>
    <x:row r="547">
      <x:c r="A547" s="10" t="str">
        <x:v>LOC126359055</x:v>
      </x:c>
      <x:c r="B547" s="10" t="str">
        <x:v>toll-like receptor 2</x:v>
      </x:c>
      <x:c r="C547" s="19" t="str">
        <x:f>IF(COUNTIF('Colleague 115'!$A$2:$A$116,A547)&gt;0,"Yes","No")</x:f>
        <x:v>Yes</x:v>
      </x:c>
      <x:c r="D547" s="19" t="str">
        <x:f>IF(COUNTIF('Volcano 402'!$A$2:$A$403,A547)&gt;0,"Yes","No")</x:f>
        <x:v>Yes</x:v>
      </x:c>
      <x:c r="E547" s="19" t="str">
        <x:f>IF(COUNTIF('Heatmap 169'!$A$2:$A$170,A547)&gt;0,"Yes","No")</x:f>
        <x:v>No</x:v>
      </x:c>
      <x:c r="F547" s="19" t="n">
        <x:f>COUNTIF(C547:E547,"Yes")</x:f>
        <x:v>2</x:v>
      </x:c>
      <x:c r="G547" s="10" t="str">
        <x:f>IF(F547=3,"All three",IF(F547=2,IF(C547="No","Volcano + heatmap",IF(D547="No","Colleague + heatmap","Colleague + volcano")),IF(C547="Yes","Colleague only",IF(D547="Yes","Volcano only","Heatmap only"))))</x:f>
        <x:v>Colleague + volcano</x:v>
      </x:c>
      <x:c r="H547" s="10" t="str">
        <x:v>Innate Immune Recognition &amp; Signaling</x:v>
      </x:c>
      <x:c r="I547" s="10" t="str">
        <x:v>Immune Activation &amp; Sensing (Toll/JAK-STAT/NF-κB)</x:v>
      </x:c>
      <x:c r="J547" s="10" t="str">
        <x:v>Immune-related</x:v>
      </x:c>
      <x:c r="K547" s="10" t="str">
        <x:v>infection_average_all_diets; infection_diet33; infection_diet50; infection_diet83</x:v>
      </x:c>
      <x:c r="L547" s="10" t="str"/>
      <x:c r="M547" s="10" t="str"/>
      <x:c r="N547" s="10" t="str"/>
    </x:row>
    <x:row r="548">
      <x:c r="A548" s="10" t="str">
        <x:v>LOC126359091</x:v>
      </x:c>
      <x:c r="B548" s="10" t="str">
        <x:v>toll-like receptor 2 type-2</x:v>
      </x:c>
      <x:c r="C548" s="19" t="str">
        <x:f>IF(COUNTIF('Colleague 115'!$A$2:$A$116,A548)&gt;0,"Yes","No")</x:f>
        <x:v>Yes</x:v>
      </x:c>
      <x:c r="D548" s="19" t="str">
        <x:f>IF(COUNTIF('Volcano 402'!$A$2:$A$403,A548)&gt;0,"Yes","No")</x:f>
        <x:v>Yes</x:v>
      </x:c>
      <x:c r="E548" s="19" t="str">
        <x:f>IF(COUNTIF('Heatmap 169'!$A$2:$A$170,A548)&gt;0,"Yes","No")</x:f>
        <x:v>No</x:v>
      </x:c>
      <x:c r="F548" s="19" t="n">
        <x:f>COUNTIF(C548:E548,"Yes")</x:f>
        <x:v>2</x:v>
      </x:c>
      <x:c r="G548" s="10" t="str">
        <x:f>IF(F548=3,"All three",IF(F548=2,IF(C548="No","Volcano + heatmap",IF(D548="No","Colleague + heatmap","Colleague + volcano")),IF(C548="Yes","Colleague only",IF(D548="Yes","Volcano only","Heatmap only"))))</x:f>
        <x:v>Colleague + volcano</x:v>
      </x:c>
      <x:c r="H548" s="10" t="str">
        <x:v>Innate Immune Recognition &amp; Signaling</x:v>
      </x:c>
      <x:c r="I548" s="10" t="str">
        <x:v>Immune Activation &amp; Sensing (Toll/JAK-STAT/NF-κB)</x:v>
      </x:c>
      <x:c r="J548" s="10" t="str">
        <x:v>Immune-related</x:v>
      </x:c>
      <x:c r="K548" s="10" t="str">
        <x:v>infection_average_all_diets; infection_diet50; infection_diet83</x:v>
      </x:c>
      <x:c r="L548" s="10" t="str"/>
      <x:c r="M548" s="10" t="str"/>
      <x:c r="N548" s="10" t="str"/>
    </x:row>
    <x:row r="549">
      <x:c r="A549" s="10" t="str">
        <x:v>LOC126360117</x:v>
      </x:c>
      <x:c r="B549" s="10" t="str">
        <x:v>long-chain fatty acid transport protein 1-like</x:v>
      </x:c>
      <x:c r="C549" s="19" t="str">
        <x:f>IF(COUNTIF('Colleague 115'!$A$2:$A$116,A549)&gt;0,"Yes","No")</x:f>
        <x:v>No</x:v>
      </x:c>
      <x:c r="D549" s="19" t="str">
        <x:f>IF(COUNTIF('Volcano 402'!$A$2:$A$403,A549)&gt;0,"Yes","No")</x:f>
        <x:v>Yes</x:v>
      </x:c>
      <x:c r="E549" s="19" t="str">
        <x:f>IF(COUNTIF('Heatmap 169'!$A$2:$A$170,A549)&gt;0,"Yes","No")</x:f>
        <x:v>No</x:v>
      </x:c>
      <x:c r="F549" s="19" t="n">
        <x:f>COUNTIF(C549:E549,"Yes")</x:f>
        <x:v>1</x:v>
      </x:c>
      <x:c r="G549" s="10" t="str">
        <x:f>IF(F549=3,"All three",IF(F549=2,IF(C549="No","Volcano + heatmap",IF(D549="No","Colleague + heatmap","Colleague + volcano")),IF(C549="Yes","Colleague only",IF(D549="Yes","Volcano only","Heatmap only"))))</x:f>
        <x:v>Volcano only</x:v>
      </x:c>
      <x:c r="H549" s="10" t="str"/>
      <x:c r="I549" s="10" t="str"/>
      <x:c r="J549" s="10" t="str">
        <x:v>Lipid synthesis / metabolism</x:v>
      </x:c>
      <x:c r="K549" s="10" t="str">
        <x:v>infection_average_all_diets; infection_diet50; infection_diet83</x:v>
      </x:c>
      <x:c r="L549" s="10" t="str"/>
      <x:c r="M549" s="10" t="str"/>
      <x:c r="N549" s="10" t="str"/>
    </x:row>
    <x:row r="550">
      <x:c r="A550" s="10" t="str">
        <x:v>LOC126361652</x:v>
      </x:c>
      <x:c r="B550" s="10" t="str">
        <x:v>NPC intracellular cholesterol transporter 2-like</x:v>
      </x:c>
      <x:c r="C550" s="19" t="str">
        <x:f>IF(COUNTIF('Colleague 115'!$A$2:$A$116,A550)&gt;0,"Yes","No")</x:f>
        <x:v>No</x:v>
      </x:c>
      <x:c r="D550" s="19" t="str">
        <x:f>IF(COUNTIF('Volcano 402'!$A$2:$A$403,A550)&gt;0,"Yes","No")</x:f>
        <x:v>Yes</x:v>
      </x:c>
      <x:c r="E550" s="19" t="str">
        <x:f>IF(COUNTIF('Heatmap 169'!$A$2:$A$170,A550)&gt;0,"Yes","No")</x:f>
        <x:v>No</x:v>
      </x:c>
      <x:c r="F550" s="19" t="n">
        <x:f>COUNTIF(C550:E550,"Yes")</x:f>
        <x:v>1</x:v>
      </x:c>
      <x:c r="G550" s="10" t="str">
        <x:f>IF(F550=3,"All three",IF(F550=2,IF(C550="No","Volcano + heatmap",IF(D550="No","Colleague + heatmap","Colleague + volcano")),IF(C550="Yes","Colleague only",IF(D550="Yes","Volcano only","Heatmap only"))))</x:f>
        <x:v>Volcano only</x:v>
      </x:c>
      <x:c r="H550" s="10" t="str"/>
      <x:c r="I550" s="10" t="str"/>
      <x:c r="J550" s="10" t="str">
        <x:v>Lipid synthesis / metabolism</x:v>
      </x:c>
      <x:c r="K550" s="10" t="str">
        <x:v>infection_average_all_diets</x:v>
      </x:c>
      <x:c r="L550" s="10" t="str"/>
      <x:c r="M550" s="10" t="str"/>
      <x:c r="N550" s="10" t="str"/>
    </x:row>
    <x:row r="551">
      <x:c r="A551" s="10" t="str">
        <x:v>LOC126363134</x:v>
      </x:c>
      <x:c r="B551" s="10" t="str">
        <x:v>C-type lectin (CTL) or carbohydrate-recognition domain (CRD)</x:v>
      </x:c>
      <x:c r="C551" s="19" t="str">
        <x:f>IF(COUNTIF('Colleague 115'!$A$2:$A$116,A551)&gt;0,"Yes","No")</x:f>
        <x:v>No</x:v>
      </x:c>
      <x:c r="D551" s="19" t="str">
        <x:f>IF(COUNTIF('Volcano 402'!$A$2:$A$403,A551)&gt;0,"Yes","No")</x:f>
        <x:v>No</x:v>
      </x:c>
      <x:c r="E551" s="19" t="str">
        <x:f>IF(COUNTIF('Heatmap 169'!$A$2:$A$170,A551)&gt;0,"Yes","No")</x:f>
        <x:v>Yes</x:v>
      </x:c>
      <x:c r="F551" s="19" t="n">
        <x:f>COUNTIF(C551:E551,"Yes")</x:f>
        <x:v>1</x:v>
      </x:c>
      <x:c r="G551" s="10" t="str">
        <x:f>IF(F551=3,"All three",IF(F551=2,IF(C551="No","Volcano + heatmap",IF(D551="No","Colleague + heatmap","Colleague + volcano")),IF(C551="Yes","Colleague only",IF(D551="Yes","Volcano only","Heatmap only"))))</x:f>
        <x:v>Heatmap only</x:v>
      </x:c>
      <x:c r="H551" s="10" t="str"/>
      <x:c r="I551" s="10" t="str"/>
      <x:c r="J551" s="10" t="str"/>
      <x:c r="K551" s="10" t="str"/>
      <x:c r="L551" s="10" t="str">
        <x:v>Functional candidate</x:v>
      </x:c>
      <x:c r="M551" s="10" t="str">
        <x:v>Immune-related</x:v>
      </x:c>
      <x:c r="N551" s="10" t="str">
        <x:v>Not DEG</x:v>
      </x:c>
    </x:row>
    <x:row r="552">
      <x:c r="A552" s="10" t="str">
        <x:v>LOC126365371</x:v>
      </x:c>
      <x:c r="B552" s="10" t="str">
        <x:v>neuroligin-1-like</x:v>
      </x:c>
      <x:c r="C552" s="19" t="str">
        <x:f>IF(COUNTIF('Colleague 115'!$A$2:$A$116,A552)&gt;0,"Yes","No")</x:f>
        <x:v>No</x:v>
      </x:c>
      <x:c r="D552" s="19" t="str">
        <x:f>IF(COUNTIF('Volcano 402'!$A$2:$A$403,A552)&gt;0,"Yes","No")</x:f>
        <x:v>Yes</x:v>
      </x:c>
      <x:c r="E552" s="19" t="str">
        <x:f>IF(COUNTIF('Heatmap 169'!$A$2:$A$170,A552)&gt;0,"Yes","No")</x:f>
        <x:v>No</x:v>
      </x:c>
      <x:c r="F552" s="19" t="n">
        <x:f>COUNTIF(C552:E552,"Yes")</x:f>
        <x:v>1</x:v>
      </x:c>
      <x:c r="G552" s="10" t="str">
        <x:f>IF(F552=3,"All three",IF(F552=2,IF(C552="No","Volcano + heatmap",IF(D552="No","Colleague + heatmap","Colleague + volcano")),IF(C552="Yes","Colleague only",IF(D552="Yes","Volcano only","Heatmap only"))))</x:f>
        <x:v>Volcano only</x:v>
      </x:c>
      <x:c r="H552" s="10" t="str"/>
      <x:c r="I552" s="10" t="str"/>
      <x:c r="J552" s="10" t="str">
        <x:v>Detoxification / stress</x:v>
      </x:c>
      <x:c r="K552" s="10" t="str">
        <x:v>infection_diet50</x:v>
      </x:c>
      <x:c r="L552" s="10" t="str"/>
      <x:c r="M552" s="10" t="str"/>
      <x:c r="N552" s="10" t="str"/>
    </x:row>
    <x:row r="553">
      <x:c r="A553" s="10" t="str">
        <x:v>LOC126365786</x:v>
      </x:c>
      <x:c r="B553" s="10" t="str">
        <x:v>peptidoglycan recognition protein 3-like</x:v>
      </x:c>
      <x:c r="C553" s="19" t="str">
        <x:f>IF(COUNTIF('Colleague 115'!$A$2:$A$116,A553)&gt;0,"Yes","No")</x:f>
        <x:v>No</x:v>
      </x:c>
      <x:c r="D553" s="19" t="str">
        <x:f>IF(COUNTIF('Volcano 402'!$A$2:$A$403,A553)&gt;0,"Yes","No")</x:f>
        <x:v>Yes</x:v>
      </x:c>
      <x:c r="E553" s="19" t="str">
        <x:f>IF(COUNTIF('Heatmap 169'!$A$2:$A$170,A553)&gt;0,"Yes","No")</x:f>
        <x:v>No</x:v>
      </x:c>
      <x:c r="F553" s="19" t="n">
        <x:f>COUNTIF(C553:E553,"Yes")</x:f>
        <x:v>1</x:v>
      </x:c>
      <x:c r="G553" s="10" t="str">
        <x:f>IF(F553=3,"All three",IF(F553=2,IF(C553="No","Volcano + heatmap",IF(D553="No","Colleague + heatmap","Colleague + volcano")),IF(C553="Yes","Colleague only",IF(D553="Yes","Volcano only","Heatmap only"))))</x:f>
        <x:v>Volcano only</x:v>
      </x:c>
      <x:c r="H553" s="10" t="str"/>
      <x:c r="I553" s="10" t="str"/>
      <x:c r="J553" s="10" t="str">
        <x:v>Immune-related</x:v>
      </x:c>
      <x:c r="K553" s="10" t="str">
        <x:v>infection_diet83</x:v>
      </x:c>
      <x:c r="L553" s="10" t="str"/>
      <x:c r="M553" s="10" t="str"/>
      <x:c r="N553" s="10" t="str"/>
    </x:row>
    <x:row r="554">
      <x:c r="A554" s="10" t="str">
        <x:v>LOC126365834</x:v>
      </x:c>
      <x:c r="B554" s="10" t="str">
        <x:v>aldehyde dehydrogenase 1A1-like</x:v>
      </x:c>
      <x:c r="C554" s="19" t="str">
        <x:f>IF(COUNTIF('Colleague 115'!$A$2:$A$116,A554)&gt;0,"Yes","No")</x:f>
        <x:v>No</x:v>
      </x:c>
      <x:c r="D554" s="19" t="str">
        <x:f>IF(COUNTIF('Volcano 402'!$A$2:$A$403,A554)&gt;0,"Yes","No")</x:f>
        <x:v>Yes</x:v>
      </x:c>
      <x:c r="E554" s="19" t="str">
        <x:f>IF(COUNTIF('Heatmap 169'!$A$2:$A$170,A554)&gt;0,"Yes","No")</x:f>
        <x:v>No</x:v>
      </x:c>
      <x:c r="F554" s="19" t="n">
        <x:f>COUNTIF(C554:E554,"Yes")</x:f>
        <x:v>1</x:v>
      </x:c>
      <x:c r="G554" s="10" t="str">
        <x:f>IF(F554=3,"All three",IF(F554=2,IF(C554="No","Volcano + heatmap",IF(D554="No","Colleague + heatmap","Colleague + volcano")),IF(C554="Yes","Colleague only",IF(D554="Yes","Volcano only","Heatmap only"))))</x:f>
        <x:v>Volcano only</x:v>
      </x:c>
      <x:c r="H554" s="10" t="str"/>
      <x:c r="I554" s="10" t="str"/>
      <x:c r="J554" s="10" t="str">
        <x:v>Detoxification / stress</x:v>
      </x:c>
      <x:c r="K554" s="10" t="str">
        <x:v>infection_average_all_diets; infection_diet50</x:v>
      </x:c>
      <x:c r="L554" s="10" t="str"/>
      <x:c r="M554" s="10" t="str"/>
      <x:c r="N554" s="10" t="str"/>
    </x:row>
    <x:row r="555">
      <x:c r="A555" s="10" t="str">
        <x:v>LOC126365914</x:v>
      </x:c>
      <x:c r="B555" s="10" t="str">
        <x:v>phospholipase DDHD2</x:v>
      </x:c>
      <x:c r="C555" s="19" t="str">
        <x:f>IF(COUNTIF('Colleague 115'!$A$2:$A$116,A555)&gt;0,"Yes","No")</x:f>
        <x:v>No</x:v>
      </x:c>
      <x:c r="D555" s="19" t="str">
        <x:f>IF(COUNTIF('Volcano 402'!$A$2:$A$403,A555)&gt;0,"Yes","No")</x:f>
        <x:v>Yes</x:v>
      </x:c>
      <x:c r="E555" s="19" t="str">
        <x:f>IF(COUNTIF('Heatmap 169'!$A$2:$A$170,A555)&gt;0,"Yes","No")</x:f>
        <x:v>No</x:v>
      </x:c>
      <x:c r="F555" s="19" t="n">
        <x:f>COUNTIF(C555:E555,"Yes")</x:f>
        <x:v>1</x:v>
      </x:c>
      <x:c r="G555" s="10" t="str">
        <x:f>IF(F555=3,"All three",IF(F555=2,IF(C555="No","Volcano + heatmap",IF(D555="No","Colleague + heatmap","Colleague + volcano")),IF(C555="Yes","Colleague only",IF(D555="Yes","Volcano only","Heatmap only"))))</x:f>
        <x:v>Volcano only</x:v>
      </x:c>
      <x:c r="H555" s="10" t="str"/>
      <x:c r="I555" s="10" t="str"/>
      <x:c r="J555" s="10" t="str">
        <x:v>Lipid synthesis / metabolism</x:v>
      </x:c>
      <x:c r="K555" s="10" t="str">
        <x:v>infection_average_all_diets; infection_diet50; infection_diet83</x:v>
      </x:c>
      <x:c r="L555" s="10" t="str"/>
      <x:c r="M555" s="10" t="str"/>
      <x:c r="N555" s="10" t="str"/>
    </x:row>
    <x:row r="556">
      <x:c r="A556" s="10" t="str">
        <x:v>LOC126365918</x:v>
      </x:c>
      <x:c r="B556" s="10" t="str">
        <x:v>peptidoglycan-recognition protein LA-like</x:v>
      </x:c>
      <x:c r="C556" s="19" t="str">
        <x:f>IF(COUNTIF('Colleague 115'!$A$2:$A$116,A556)&gt;0,"Yes","No")</x:f>
        <x:v>No</x:v>
      </x:c>
      <x:c r="D556" s="19" t="str">
        <x:f>IF(COUNTIF('Volcano 402'!$A$2:$A$403,A556)&gt;0,"Yes","No")</x:f>
        <x:v>Yes</x:v>
      </x:c>
      <x:c r="E556" s="19" t="str">
        <x:f>IF(COUNTIF('Heatmap 169'!$A$2:$A$170,A556)&gt;0,"Yes","No")</x:f>
        <x:v>Yes</x:v>
      </x:c>
      <x:c r="F556" s="19" t="n">
        <x:f>COUNTIF(C556:E556,"Yes")</x:f>
        <x:v>2</x:v>
      </x:c>
      <x:c r="G556" s="10" t="str">
        <x:f>IF(F556=3,"All three",IF(F556=2,IF(C556="No","Volcano + heatmap",IF(D556="No","Colleague + heatmap","Colleague + volcano")),IF(C556="Yes","Colleague only",IF(D556="Yes","Volcano only","Heatmap only"))))</x:f>
        <x:v>Volcano + heatmap</x:v>
      </x:c>
      <x:c r="H556" s="10" t="str"/>
      <x:c r="I556" s="10" t="str"/>
      <x:c r="J556" s="10" t="str">
        <x:v>Antimicrobial peptides</x:v>
      </x:c>
      <x:c r="K556" s="10" t="str">
        <x:v>infection_average_all_diets; infection_diet33; infection_diet50; infection_diet83</x:v>
      </x:c>
      <x:c r="L556" s="10" t="str">
        <x:v>Functional candidate</x:v>
      </x:c>
      <x:c r="M556" s="10" t="str">
        <x:v>Immune-related</x:v>
      </x:c>
      <x:c r="N556" s="10" t="str">
        <x:v>DEG</x:v>
      </x:c>
    </x:row>
    <x:row r="557">
      <x:c r="A557" s="10" t="str">
        <x:v>LOC126365925</x:v>
      </x:c>
      <x:c r="B557" s="10" t="str">
        <x:v>proton-coupled amino acid transporter-like protein CG1139</x:v>
      </x:c>
      <x:c r="C557" s="19" t="str">
        <x:f>IF(COUNTIF('Colleague 115'!$A$2:$A$116,A557)&gt;0,"Yes","No")</x:f>
        <x:v>Yes</x:v>
      </x:c>
      <x:c r="D557" s="19" t="str">
        <x:f>IF(COUNTIF('Volcano 402'!$A$2:$A$403,A557)&gt;0,"Yes","No")</x:f>
        <x:v>No</x:v>
      </x:c>
      <x:c r="E557" s="19" t="str">
        <x:f>IF(COUNTIF('Heatmap 169'!$A$2:$A$170,A557)&gt;0,"Yes","No")</x:f>
        <x:v>No</x:v>
      </x:c>
      <x:c r="F557" s="19" t="n">
        <x:f>COUNTIF(C557:E557,"Yes")</x:f>
        <x:v>1</x:v>
      </x:c>
      <x:c r="G557" s="10" t="str">
        <x:f>IF(F557=3,"All three",IF(F557=2,IF(C557="No","Volcano + heatmap",IF(D557="No","Colleague + heatmap","Colleague + volcano")),IF(C557="Yes","Colleague only",IF(D557="Yes","Volcano only","Heatmap only"))))</x:f>
        <x:v>Colleague only</x:v>
      </x:c>
      <x:c r="H557" s="10" t="str">
        <x:v>Nitrogen, Amino Acid Transport &amp; Metabolism</x:v>
      </x:c>
      <x:c r="I557" s="10" t="str">
        <x:v>Proton-Coupled &amp; Auxiliary Amino Acid Transporters</x:v>
      </x:c>
      <x:c r="J557" s="10" t="str"/>
      <x:c r="K557" s="10" t="str"/>
      <x:c r="L557" s="10" t="str"/>
      <x:c r="M557" s="10" t="str"/>
      <x:c r="N557" s="10" t="str"/>
    </x:row>
    <x:row r="558">
      <x:c r="A558" s="10" t="str">
        <x:v>LOC126365941</x:v>
      </x:c>
      <x:c r="B558" s="10" t="str">
        <x:v>Belongs to the aconitase IPM isomerase family</x:v>
      </x:c>
      <x:c r="C558" s="19" t="str">
        <x:f>IF(COUNTIF('Colleague 115'!$A$2:$A$116,A558)&gt;0,"Yes","No")</x:f>
        <x:v>No</x:v>
      </x:c>
      <x:c r="D558" s="19" t="str">
        <x:f>IF(COUNTIF('Volcano 402'!$A$2:$A$403,A558)&gt;0,"Yes","No")</x:f>
        <x:v>No</x:v>
      </x:c>
      <x:c r="E558" s="19" t="str">
        <x:f>IF(COUNTIF('Heatmap 169'!$A$2:$A$170,A558)&gt;0,"Yes","No")</x:f>
        <x:v>Yes</x:v>
      </x:c>
      <x:c r="F558" s="19" t="n">
        <x:f>COUNTIF(C558:E558,"Yes")</x:f>
        <x:v>1</x:v>
      </x:c>
      <x:c r="G558" s="10" t="str">
        <x:f>IF(F558=3,"All three",IF(F558=2,IF(C558="No","Volcano + heatmap",IF(D558="No","Colleague + heatmap","Colleague + volcano")),IF(C558="Yes","Colleague only",IF(D558="Yes","Volcano only","Heatmap only"))))</x:f>
        <x:v>Heatmap only</x:v>
      </x:c>
      <x:c r="H558" s="10" t="str"/>
      <x:c r="I558" s="10" t="str"/>
      <x:c r="J558" s="10" t="str"/>
      <x:c r="K558" s="10" t="str"/>
      <x:c r="L558" s="10" t="str">
        <x:v>Top DEG</x:v>
      </x:c>
      <x:c r="M558" s="10" t="str">
        <x:v>Other strong DEG</x:v>
      </x:c>
      <x:c r="N558" s="10" t="str">
        <x:v>DEG</x:v>
      </x:c>
    </x:row>
    <x:row r="559">
      <x:c r="A559" s="10" t="str">
        <x:v>LOC126365945</x:v>
      </x:c>
      <x:c r="B559" s="10" t="str">
        <x:v>cholesterol 7-desaturase nvd</x:v>
      </x:c>
      <x:c r="C559" s="19" t="str">
        <x:f>IF(COUNTIF('Colleague 115'!$A$2:$A$116,A559)&gt;0,"Yes","No")</x:f>
        <x:v>No</x:v>
      </x:c>
      <x:c r="D559" s="19" t="str">
        <x:f>IF(COUNTIF('Volcano 402'!$A$2:$A$403,A559)&gt;0,"Yes","No")</x:f>
        <x:v>Yes</x:v>
      </x:c>
      <x:c r="E559" s="19" t="str">
        <x:f>IF(COUNTIF('Heatmap 169'!$A$2:$A$170,A559)&gt;0,"Yes","No")</x:f>
        <x:v>No</x:v>
      </x:c>
      <x:c r="F559" s="19" t="n">
        <x:f>COUNTIF(C559:E559,"Yes")</x:f>
        <x:v>1</x:v>
      </x:c>
      <x:c r="G559" s="10" t="str">
        <x:f>IF(F559=3,"All three",IF(F559=2,IF(C559="No","Volcano + heatmap",IF(D559="No","Colleague + heatmap","Colleague + volcano")),IF(C559="Yes","Colleague only",IF(D559="Yes","Volcano only","Heatmap only"))))</x:f>
        <x:v>Volcano only</x:v>
      </x:c>
      <x:c r="H559" s="10" t="str"/>
      <x:c r="I559" s="10" t="str"/>
      <x:c r="J559" s="10" t="str">
        <x:v>Lipid synthesis / metabolism</x:v>
      </x:c>
      <x:c r="K559" s="10" t="str">
        <x:v>infected_diet83_vs33; infected_diet83_vs50; infection_diet83</x:v>
      </x:c>
      <x:c r="L559" s="10" t="str"/>
      <x:c r="M559" s="10" t="str"/>
      <x:c r="N559" s="10" t="str"/>
    </x:row>
    <x:row r="560">
      <x:c r="A560" s="10" t="str">
        <x:v>LOC126365952</x:v>
      </x:c>
      <x:c r="B560" s="10" t="str">
        <x:v>PC-esterase domain-containing protein 1A-like</x:v>
      </x:c>
      <x:c r="C560" s="19" t="str">
        <x:f>IF(COUNTIF('Colleague 115'!$A$2:$A$116,A560)&gt;0,"Yes","No")</x:f>
        <x:v>No</x:v>
      </x:c>
      <x:c r="D560" s="19" t="str">
        <x:f>IF(COUNTIF('Volcano 402'!$A$2:$A$403,A560)&gt;0,"Yes","No")</x:f>
        <x:v>Yes</x:v>
      </x:c>
      <x:c r="E560" s="19" t="str">
        <x:f>IF(COUNTIF('Heatmap 169'!$A$2:$A$170,A560)&gt;0,"Yes","No")</x:f>
        <x:v>No</x:v>
      </x:c>
      <x:c r="F560" s="19" t="n">
        <x:f>COUNTIF(C560:E560,"Yes")</x:f>
        <x:v>1</x:v>
      </x:c>
      <x:c r="G560" s="10" t="str">
        <x:f>IF(F560=3,"All three",IF(F560=2,IF(C560="No","Volcano + heatmap",IF(D560="No","Colleague + heatmap","Colleague + volcano")),IF(C560="Yes","Colleague only",IF(D560="Yes","Volcano only","Heatmap only"))))</x:f>
        <x:v>Volcano only</x:v>
      </x:c>
      <x:c r="H560" s="10" t="str"/>
      <x:c r="I560" s="10" t="str"/>
      <x:c r="J560" s="10" t="str">
        <x:v>Detoxification / stress</x:v>
      </x:c>
      <x:c r="K560" s="10" t="str">
        <x:v>infection_average_all_diets; infection_diet50</x:v>
      </x:c>
      <x:c r="L560" s="10" t="str"/>
      <x:c r="M560" s="10" t="str"/>
      <x:c r="N560" s="10" t="str"/>
    </x:row>
    <x:row r="561">
      <x:c r="A561" s="10" t="str">
        <x:v>LOC126365957</x:v>
      </x:c>
      <x:c r="B561" s="10" t="str">
        <x:v>Belongs to the hexokinase family</x:v>
      </x:c>
      <x:c r="C561" s="19" t="str">
        <x:f>IF(COUNTIF('Colleague 115'!$A$2:$A$116,A561)&gt;0,"Yes","No")</x:f>
        <x:v>No</x:v>
      </x:c>
      <x:c r="D561" s="19" t="str">
        <x:f>IF(COUNTIF('Volcano 402'!$A$2:$A$403,A561)&gt;0,"Yes","No")</x:f>
        <x:v>No</x:v>
      </x:c>
      <x:c r="E561" s="19" t="str">
        <x:f>IF(COUNTIF('Heatmap 169'!$A$2:$A$170,A561)&gt;0,"Yes","No")</x:f>
        <x:v>Yes</x:v>
      </x:c>
      <x:c r="F561" s="19" t="n">
        <x:f>COUNTIF(C561:E561,"Yes")</x:f>
        <x:v>1</x:v>
      </x:c>
      <x:c r="G561" s="10" t="str">
        <x:f>IF(F561=3,"All three",IF(F561=2,IF(C561="No","Volcano + heatmap",IF(D561="No","Colleague + heatmap","Colleague + volcano")),IF(C561="Yes","Colleague only",IF(D561="Yes","Volcano only","Heatmap only"))))</x:f>
        <x:v>Heatmap only</x:v>
      </x:c>
      <x:c r="H561" s="10" t="str"/>
      <x:c r="I561" s="10" t="str"/>
      <x:c r="J561" s="10" t="str"/>
      <x:c r="K561" s="10" t="str"/>
      <x:c r="L561" s="10" t="str">
        <x:v>Top DEG</x:v>
      </x:c>
      <x:c r="M561" s="10" t="str">
        <x:v>Other strong DEG</x:v>
      </x:c>
      <x:c r="N561" s="10" t="str">
        <x:v>DEG</x:v>
      </x:c>
    </x:row>
    <x:row r="562">
      <x:c r="A562" s="10" t="str">
        <x:v>LOC126365968</x:v>
      </x:c>
      <x:c r="B562" s="10" t="str">
        <x:v>probable cytochrome P450 301a1, mitochondrial</x:v>
      </x:c>
      <x:c r="C562" s="19" t="str">
        <x:f>IF(COUNTIF('Colleague 115'!$A$2:$A$116,A562)&gt;0,"Yes","No")</x:f>
        <x:v>No</x:v>
      </x:c>
      <x:c r="D562" s="19" t="str">
        <x:f>IF(COUNTIF('Volcano 402'!$A$2:$A$403,A562)&gt;0,"Yes","No")</x:f>
        <x:v>Yes</x:v>
      </x:c>
      <x:c r="E562" s="19" t="str">
        <x:f>IF(COUNTIF('Heatmap 169'!$A$2:$A$170,A562)&gt;0,"Yes","No")</x:f>
        <x:v>Yes</x:v>
      </x:c>
      <x:c r="F562" s="19" t="n">
        <x:f>COUNTIF(C562:E562,"Yes")</x:f>
        <x:v>2</x:v>
      </x:c>
      <x:c r="G562" s="10" t="str">
        <x:f>IF(F562=3,"All three",IF(F562=2,IF(C562="No","Volcano + heatmap",IF(D562="No","Colleague + heatmap","Colleague + volcano")),IF(C562="Yes","Colleague only",IF(D562="Yes","Volcano only","Heatmap only"))))</x:f>
        <x:v>Volcano + heatmap</x:v>
      </x:c>
      <x:c r="H562" s="10" t="str"/>
      <x:c r="I562" s="10" t="str"/>
      <x:c r="J562" s="10" t="str">
        <x:v>Detoxification / stress</x:v>
      </x:c>
      <x:c r="K562" s="10" t="str">
        <x:v>infection_average_all_diets</x:v>
      </x:c>
      <x:c r="L562" s="10" t="str">
        <x:v>Functional candidate</x:v>
      </x:c>
      <x:c r="M562" s="10" t="str">
        <x:v>Detoxification/stress</x:v>
      </x:c>
      <x:c r="N562" s="10" t="str">
        <x:v>Not DEG</x:v>
      </x:c>
    </x:row>
    <x:row r="563">
      <x:c r="A563" s="10" t="str">
        <x:v>LOC126365969</x:v>
      </x:c>
      <x:c r="B563" s="10" t="str">
        <x:v>probable cytochrome P450 301a1, mitochondrial</x:v>
      </x:c>
      <x:c r="C563" s="19" t="str">
        <x:f>IF(COUNTIF('Colleague 115'!$A$2:$A$116,A563)&gt;0,"Yes","No")</x:f>
        <x:v>No</x:v>
      </x:c>
      <x:c r="D563" s="19" t="str">
        <x:f>IF(COUNTIF('Volcano 402'!$A$2:$A$403,A563)&gt;0,"Yes","No")</x:f>
        <x:v>Yes</x:v>
      </x:c>
      <x:c r="E563" s="19" t="str">
        <x:f>IF(COUNTIF('Heatmap 169'!$A$2:$A$170,A563)&gt;0,"Yes","No")</x:f>
        <x:v>No</x:v>
      </x:c>
      <x:c r="F563" s="19" t="n">
        <x:f>COUNTIF(C563:E563,"Yes")</x:f>
        <x:v>1</x:v>
      </x:c>
      <x:c r="G563" s="10" t="str">
        <x:f>IF(F563=3,"All three",IF(F563=2,IF(C563="No","Volcano + heatmap",IF(D563="No","Colleague + heatmap","Colleague + volcano")),IF(C563="Yes","Colleague only",IF(D563="Yes","Volcano only","Heatmap only"))))</x:f>
        <x:v>Volcano only</x:v>
      </x:c>
      <x:c r="H563" s="10" t="str"/>
      <x:c r="I563" s="10" t="str"/>
      <x:c r="J563" s="10" t="str">
        <x:v>Detoxification / stress</x:v>
      </x:c>
      <x:c r="K563" s="10" t="str">
        <x:v>infection_average_all_diets; infection_diet33; infection_diet50</x:v>
      </x:c>
      <x:c r="L563" s="10" t="str"/>
      <x:c r="M563" s="10" t="str"/>
      <x:c r="N563" s="10" t="str"/>
    </x:row>
  </x:sheetData>
  <x:conditionalFormatting sqref="A2:N563">
    <x:cfRule type="expression" dxfId="4" priority="1">
      <x:formula>$G2="All three"</x:formula>
    </x:cfRule>
    <x:cfRule type="expression" dxfId="5" priority="2">
      <x:formula>OR($G2="Colleague + volcano",$G2="Colleague + heatmap",$G2="Volcano + heatmap")</x:formula>
    </x:cfRule>
    <x:cfRule type="expression" dxfId="6" priority="3">
      <x:formula>$G2="Colleague only"</x:formula>
    </x:cfRule>
    <x:cfRule type="expression" dxfId="7" priority="4">
      <x:formula>$G2="Volcano only"</x:formula>
    </x:cfRule>
    <x:cfRule type="expression" dxfId="8" priority="5">
      <x:formula>$G2="Heatmap 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ec4006766d44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38" hidden="0" customWidth="1"/>
    <x:col min="4" max="4" width="42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34" customHeight="1">
      <x:c r="A1" s="6" t="str">
        <x:v>Gene ID</x:v>
      </x:c>
      <x:c r="B1" s="6" t="str">
        <x:v>Description</x:v>
      </x:c>
      <x:c r="C1" s="6" t="str">
        <x:v>Umbrella category</x:v>
      </x:c>
      <x:c r="D1" s="6" t="str">
        <x:v>Sub-category</x:v>
      </x:c>
      <x:c r="E1" s="6" t="str">
        <x:v>In Volcano 402</x:v>
      </x:c>
      <x:c r="F1" s="6" t="str">
        <x:v>In Heatmap 169</x:v>
      </x:c>
      <x:c r="G1" s="6" t="str">
        <x:v>Comparison status</x:v>
      </x:c>
    </x:row>
    <x:row r="2">
      <x:c r="A2" s="10" t="str">
        <x:v>LOC126281715</x:v>
      </x:c>
      <x:c r="B2" s="10" t="str">
        <x:v>caspase-1-like</x:v>
      </x:c>
      <x:c r="C2" s="10" t="str">
        <x:v>Cellular Immunity</x:v>
      </x:c>
      <x:c r="D2" s="10" t="str">
        <x:v>Inflammasome Assembly &amp; Pyroptosis</x:v>
      </x:c>
      <x:c r="E2" s="19" t="str">
        <x:f>IF(COUNTIF('Volcano 402'!$A$2:$A$403,A2)&gt;0,"Yes","No")</x:f>
        <x:v>No</x:v>
      </x:c>
      <x:c r="F2" s="19" t="str">
        <x:f>IF(COUNTIF('Heatmap 169'!$A$2:$A$170,A2)&gt;0,"Yes","No")</x:f>
        <x:v>No</x:v>
      </x:c>
      <x:c r="G2" s="10" t="str">
        <x:f>IF(AND(E2="Yes",F2="Yes"),"In all three",IF(E2="Yes","Also in Figure S3",IF(F2="Yes","Also in heatmap","Colleague only")))</x:f>
        <x:v>Colleague only</x:v>
      </x:c>
    </x:row>
    <x:row r="3">
      <x:c r="A3" s="10" t="str">
        <x:v>LOC126281729</x:v>
      </x:c>
      <x:c r="B3" s="10" t="str">
        <x:v>caspase-1-like</x:v>
      </x:c>
      <x:c r="C3" s="10" t="str">
        <x:v>Cellular Immunity</x:v>
      </x:c>
      <x:c r="D3" s="10" t="str">
        <x:v>Inflammasome Assembly &amp; Pyroptosis</x:v>
      </x:c>
      <x:c r="E3" s="19" t="str">
        <x:f>IF(COUNTIF('Volcano 402'!$A$2:$A$403,A3)&gt;0,"Yes","No")</x:f>
        <x:v>No</x:v>
      </x:c>
      <x:c r="F3" s="19" t="str">
        <x:f>IF(COUNTIF('Heatmap 169'!$A$2:$A$170,A3)&gt;0,"Yes","No")</x:f>
        <x:v>No</x:v>
      </x:c>
      <x:c r="G3" s="10" t="str">
        <x:f>IF(AND(E3="Yes",F3="Yes"),"In all three",IF(E3="Yes","Also in Figure S4",IF(F3="Yes","Also in heatmap","Colleague only")))</x:f>
        <x:v>Colleague only</x:v>
      </x:c>
    </x:row>
    <x:row r="4">
      <x:c r="A4" s="10" t="str">
        <x:v>LOC126284648</x:v>
      </x:c>
      <x:c r="B4" s="10" t="str">
        <x:v>CARD- and ANK-domain containing inflammasome adapter protein-like</x:v>
      </x:c>
      <x:c r="C4" s="10" t="str">
        <x:v>Cellular Immunity</x:v>
      </x:c>
      <x:c r="D4" s="10" t="str">
        <x:v>Inflammasome Assembly &amp; Pyroptosis</x:v>
      </x:c>
      <x:c r="E4" s="19" t="str">
        <x:f>IF(COUNTIF('Volcano 402'!$A$2:$A$403,A4)&gt;0,"Yes","No")</x:f>
        <x:v>No</x:v>
      </x:c>
      <x:c r="F4" s="19" t="str">
        <x:f>IF(COUNTIF('Heatmap 169'!$A$2:$A$170,A4)&gt;0,"Yes","No")</x:f>
        <x:v>No</x:v>
      </x:c>
      <x:c r="G4" s="10" t="str">
        <x:f>IF(AND(E4="Yes",F4="Yes"),"In all three",IF(E4="Yes","Also in Figure S5",IF(F4="Yes","Also in heatmap","Colleague only")))</x:f>
        <x:v>Colleague only</x:v>
      </x:c>
    </x:row>
    <x:row r="5">
      <x:c r="A5" s="10" t="str">
        <x:v>LOC126336702</x:v>
      </x:c>
      <x:c r="B5" s="10" t="str">
        <x:v>caspase-1-like</x:v>
      </x:c>
      <x:c r="C5" s="10" t="str">
        <x:v>Cellular Immunity</x:v>
      </x:c>
      <x:c r="D5" s="10" t="str">
        <x:v>Inflammasome Assembly &amp; Pyroptosis</x:v>
      </x:c>
      <x:c r="E5" s="19" t="str">
        <x:f>IF(COUNTIF('Volcano 402'!$A$2:$A$403,A5)&gt;0,"Yes","No")</x:f>
        <x:v>No</x:v>
      </x:c>
      <x:c r="F5" s="19" t="str">
        <x:f>IF(COUNTIF('Heatmap 169'!$A$2:$A$170,A5)&gt;0,"Yes","No")</x:f>
        <x:v>No</x:v>
      </x:c>
      <x:c r="G5" s="10" t="str">
        <x:f>IF(AND(E5="Yes",F5="Yes"),"In all three",IF(E5="Yes","Also in Figure S6",IF(F5="Yes","Also in heatmap","Colleague only")))</x:f>
        <x:v>Colleague only</x:v>
      </x:c>
    </x:row>
    <x:row r="6">
      <x:c r="A6" s="10" t="str">
        <x:v>LOC126336969</x:v>
      </x:c>
      <x:c r="B6" s="10" t="str">
        <x:v>hemocyte protein-glutamine gamma-glutamyltransferase-like</x:v>
      </x:c>
      <x:c r="C6" s="10" t="str">
        <x:v>Cellular Immunity</x:v>
      </x:c>
      <x:c r="D6" s="10" t="str">
        <x:v>Inflammasome Assembly &amp; Pyroptosis</x:v>
      </x:c>
      <x:c r="E6" s="19" t="str">
        <x:f>IF(COUNTIF('Volcano 402'!$A$2:$A$403,A6)&gt;0,"Yes","No")</x:f>
        <x:v>No</x:v>
      </x:c>
      <x:c r="F6" s="19" t="str">
        <x:f>IF(COUNTIF('Heatmap 169'!$A$2:$A$170,A6)&gt;0,"Yes","No")</x:f>
        <x:v>No</x:v>
      </x:c>
      <x:c r="G6" s="10" t="str">
        <x:f>IF(AND(E6="Yes",F6="Yes"),"In all three",IF(E6="Yes","Also in Figure S7",IF(F6="Yes","Also in heatmap","Colleague only")))</x:f>
        <x:v>Colleague only</x:v>
      </x:c>
    </x:row>
    <x:row r="7">
      <x:c r="A7" s="10" t="str">
        <x:v>LOC126268069</x:v>
      </x:c>
      <x:c r="B7" s="10" t="str">
        <x:v>gamma-interferon-inducible lysosomal thiol reductase-like</x:v>
      </x:c>
      <x:c r="C7" s="10" t="str">
        <x:v>Cellular Immunity</x:v>
      </x:c>
      <x:c r="D7" s="10" t="str">
        <x:v>Lysosomal Processing &amp; Antigen Presentation (GILT)</x:v>
      </x:c>
      <x:c r="E7" s="19" t="str">
        <x:f>IF(COUNTIF('Volcano 402'!$A$2:$A$403,A7)&gt;0,"Yes","No")</x:f>
        <x:v>No</x:v>
      </x:c>
      <x:c r="F7" s="19" t="str">
        <x:f>IF(COUNTIF('Heatmap 169'!$A$2:$A$170,A7)&gt;0,"Yes","No")</x:f>
        <x:v>No</x:v>
      </x:c>
      <x:c r="G7" s="10" t="str">
        <x:f>IF(AND(E7="Yes",F7="Yes"),"In all three",IF(E7="Yes","Also in Figure S8",IF(F7="Yes","Also in heatmap","Colleague only")))</x:f>
        <x:v>Colleague only</x:v>
      </x:c>
    </x:row>
    <x:row r="8">
      <x:c r="A8" s="10" t="str">
        <x:v>LOC126291948</x:v>
      </x:c>
      <x:c r="B8" s="10" t="str">
        <x:v>gamma-interferon-inducible lysosomal thiol reductase-like</x:v>
      </x:c>
      <x:c r="C8" s="10" t="str">
        <x:v>Cellular Immunity</x:v>
      </x:c>
      <x:c r="D8" s="10" t="str">
        <x:v>Lysosomal Processing &amp; Antigen Presentation (GILT)</x:v>
      </x:c>
      <x:c r="E8" s="19" t="str">
        <x:f>IF(COUNTIF('Volcano 402'!$A$2:$A$403,A8)&gt;0,"Yes","No")</x:f>
        <x:v>No</x:v>
      </x:c>
      <x:c r="F8" s="19" t="str">
        <x:f>IF(COUNTIF('Heatmap 169'!$A$2:$A$170,A8)&gt;0,"Yes","No")</x:f>
        <x:v>No</x:v>
      </x:c>
      <x:c r="G8" s="10" t="str">
        <x:f>IF(AND(E8="Yes",F8="Yes"),"In all three",IF(E8="Yes","Also in Figure S9",IF(F8="Yes","Also in heatmap","Colleague only")))</x:f>
        <x:v>Colleague only</x:v>
      </x:c>
    </x:row>
    <x:row r="9">
      <x:c r="A9" s="10" t="str">
        <x:v>LOC126291966</x:v>
      </x:c>
      <x:c r="B9" s="10" t="str">
        <x:v>gamma-interferon-inducible lysosomal thiol reductase-like</x:v>
      </x:c>
      <x:c r="C9" s="10" t="str">
        <x:v>Cellular Immunity</x:v>
      </x:c>
      <x:c r="D9" s="10" t="str">
        <x:v>Lysosomal Processing &amp; Antigen Presentation (GILT)</x:v>
      </x:c>
      <x:c r="E9" s="19" t="str">
        <x:f>IF(COUNTIF('Volcano 402'!$A$2:$A$403,A9)&gt;0,"Yes","No")</x:f>
        <x:v>No</x:v>
      </x:c>
      <x:c r="F9" s="19" t="str">
        <x:f>IF(COUNTIF('Heatmap 169'!$A$2:$A$170,A9)&gt;0,"Yes","No")</x:f>
        <x:v>No</x:v>
      </x:c>
      <x:c r="G9" s="10" t="str">
        <x:f>IF(AND(E9="Yes",F9="Yes"),"In all three",IF(E9="Yes","Also in Figure S10",IF(F9="Yes","Also in heatmap","Colleague only")))</x:f>
        <x:v>Colleague only</x:v>
      </x:c>
    </x:row>
    <x:row r="10">
      <x:c r="A10" s="10" t="str">
        <x:v>LOC126292150</x:v>
      </x:c>
      <x:c r="B10" s="10" t="str">
        <x:v>gamma-interferon-inducible lysosomal thiol reductase-like</x:v>
      </x:c>
      <x:c r="C10" s="10" t="str">
        <x:v>Cellular Immunity</x:v>
      </x:c>
      <x:c r="D10" s="10" t="str">
        <x:v>Lysosomal Processing &amp; Antigen Presentation (GILT)</x:v>
      </x:c>
      <x:c r="E10" s="19" t="str">
        <x:f>IF(COUNTIF('Volcano 402'!$A$2:$A$403,A10)&gt;0,"Yes","No")</x:f>
        <x:v>No</x:v>
      </x:c>
      <x:c r="F10" s="19" t="str">
        <x:f>IF(COUNTIF('Heatmap 169'!$A$2:$A$170,A10)&gt;0,"Yes","No")</x:f>
        <x:v>No</x:v>
      </x:c>
      <x:c r="G10" s="10" t="str">
        <x:f>IF(AND(E10="Yes",F10="Yes"),"In all three",IF(E10="Yes","Also in Figure S11",IF(F10="Yes","Also in heatmap","Colleague only")))</x:f>
        <x:v>Colleague only</x:v>
      </x:c>
    </x:row>
    <x:row r="11">
      <x:c r="A11" s="10" t="str">
        <x:v>LOC126335596</x:v>
      </x:c>
      <x:c r="B11" s="10" t="str">
        <x:v>gamma-interferon-inducible lysosomal thiol reductase-like</x:v>
      </x:c>
      <x:c r="C11" s="10" t="str">
        <x:v>Cellular Immunity</x:v>
      </x:c>
      <x:c r="D11" s="10" t="str">
        <x:v>Lysosomal Processing &amp; Antigen Presentation (GILT)</x:v>
      </x:c>
      <x:c r="E11" s="19" t="str">
        <x:f>IF(COUNTIF('Volcano 402'!$A$2:$A$403,A11)&gt;0,"Yes","No")</x:f>
        <x:v>No</x:v>
      </x:c>
      <x:c r="F11" s="19" t="str">
        <x:f>IF(COUNTIF('Heatmap 169'!$A$2:$A$170,A11)&gt;0,"Yes","No")</x:f>
        <x:v>No</x:v>
      </x:c>
      <x:c r="G11" s="10" t="str">
        <x:f>IF(AND(E11="Yes",F11="Yes"),"In all three",IF(E11="Yes","Also in Figure S12",IF(F11="Yes","Also in heatmap","Colleague only")))</x:f>
        <x:v>Colleague only</x:v>
      </x:c>
    </x:row>
    <x:row r="12">
      <x:c r="A12" s="10" t="str">
        <x:v>LOC126271975</x:v>
      </x:c>
      <x:c r="B12" s="10" t="str">
        <x:v>lysozyme-like</x:v>
      </x:c>
      <x:c r="C12" s="10" t="str">
        <x:v>Humoral Immunity</x:v>
      </x:c>
      <x:c r="D12" s="10" t="str">
        <x:v>Antimicrobial Peptides (AMPs)</x:v>
      </x:c>
      <x:c r="E12" s="19" t="str">
        <x:f>IF(COUNTIF('Volcano 402'!$A$2:$A$403,A12)&gt;0,"Yes","No")</x:f>
        <x:v>Yes</x:v>
      </x:c>
      <x:c r="F12" s="19" t="str">
        <x:f>IF(COUNTIF('Heatmap 169'!$A$2:$A$170,A12)&gt;0,"Yes","No")</x:f>
        <x:v>Yes</x:v>
      </x:c>
      <x:c r="G12" s="10" t="str">
        <x:f>IF(AND(E12="Yes",F12="Yes"),"In all three",IF(E12="Yes","Also in Figure S13",IF(F12="Yes","Also in heatmap","Colleague only")))</x:f>
        <x:v>In all three</x:v>
      </x:c>
    </x:row>
    <x:row r="13">
      <x:c r="A13" s="10" t="str">
        <x:v>LOC126277383</x:v>
      </x:c>
      <x:c r="B13" s="10" t="str">
        <x:v>putative lysozyme-like protein</x:v>
      </x:c>
      <x:c r="C13" s="10" t="str">
        <x:v>Humoral Immunity</x:v>
      </x:c>
      <x:c r="D13" s="10" t="str">
        <x:v>Antimicrobial Peptides (AMPs)</x:v>
      </x:c>
      <x:c r="E13" s="19" t="str">
        <x:f>IF(COUNTIF('Volcano 402'!$A$2:$A$403,A13)&gt;0,"Yes","No")</x:f>
        <x:v>Yes</x:v>
      </x:c>
      <x:c r="F13" s="19" t="str">
        <x:f>IF(COUNTIF('Heatmap 169'!$A$2:$A$170,A13)&gt;0,"Yes","No")</x:f>
        <x:v>No</x:v>
      </x:c>
      <x:c r="G13" s="10" t="str">
        <x:f>IF(AND(E13="Yes",F13="Yes"),"In all three",IF(E13="Yes","Also in Figure S14",IF(F13="Yes","Also in heatmap","Colleague only")))</x:f>
        <x:v>Also in Figure S14</x:v>
      </x:c>
    </x:row>
    <x:row r="14">
      <x:c r="A14" s="10" t="str">
        <x:v>LOC126322854</x:v>
      </x:c>
      <x:c r="B14" s="10" t="str">
        <x:v>invertebrate-type lysozyme 3-like</x:v>
      </x:c>
      <x:c r="C14" s="10" t="str">
        <x:v>Humoral Immunity</x:v>
      </x:c>
      <x:c r="D14" s="10" t="str">
        <x:v>Antimicrobial Peptides (AMPs)</x:v>
      </x:c>
      <x:c r="E14" s="19" t="str">
        <x:f>IF(COUNTIF('Volcano 402'!$A$2:$A$403,A14)&gt;0,"Yes","No")</x:f>
        <x:v>Yes</x:v>
      </x:c>
      <x:c r="F14" s="19" t="str">
        <x:f>IF(COUNTIF('Heatmap 169'!$A$2:$A$170,A14)&gt;0,"Yes","No")</x:f>
        <x:v>No</x:v>
      </x:c>
      <x:c r="G14" s="10" t="str">
        <x:f>IF(AND(E14="Yes",F14="Yes"),"In all three",IF(E14="Yes","Also in Figure S15",IF(F14="Yes","Also in heatmap","Colleague only")))</x:f>
        <x:v>Also in Figure S15</x:v>
      </x:c>
    </x:row>
    <x:row r="15">
      <x:c r="A15" s="10" t="str">
        <x:v>LOC126334779</x:v>
      </x:c>
      <x:c r="B15" s="10" t="str">
        <x:v>defensin-1-like</x:v>
      </x:c>
      <x:c r="C15" s="10" t="str">
        <x:v>Humoral Immunity</x:v>
      </x:c>
      <x:c r="D15" s="10" t="str">
        <x:v>Antimicrobial Peptides (AMPs)</x:v>
      </x:c>
      <x:c r="E15" s="19" t="str">
        <x:f>IF(COUNTIF('Volcano 402'!$A$2:$A$403,A15)&gt;0,"Yes","No")</x:f>
        <x:v>Yes</x:v>
      </x:c>
      <x:c r="F15" s="19" t="str">
        <x:f>IF(COUNTIF('Heatmap 169'!$A$2:$A$170,A15)&gt;0,"Yes","No")</x:f>
        <x:v>No</x:v>
      </x:c>
      <x:c r="G15" s="10" t="str">
        <x:f>IF(AND(E15="Yes",F15="Yes"),"In all three",IF(E15="Yes","Also in Figure S16",IF(F15="Yes","Also in heatmap","Colleague only")))</x:f>
        <x:v>Also in Figure S16</x:v>
      </x:c>
    </x:row>
    <x:row r="16">
      <x:c r="A16" s="10" t="str">
        <x:v>LOC126334780</x:v>
      </x:c>
      <x:c r="B16" s="10" t="str">
        <x:v>defensin-1-like</x:v>
      </x:c>
      <x:c r="C16" s="10" t="str">
        <x:v>Humoral Immunity</x:v>
      </x:c>
      <x:c r="D16" s="10" t="str">
        <x:v>Antimicrobial Peptides (AMPs)</x:v>
      </x:c>
      <x:c r="E16" s="19" t="str">
        <x:f>IF(COUNTIF('Volcano 402'!$A$2:$A$403,A16)&gt;0,"Yes","No")</x:f>
        <x:v>Yes</x:v>
      </x:c>
      <x:c r="F16" s="19" t="str">
        <x:f>IF(COUNTIF('Heatmap 169'!$A$2:$A$170,A16)&gt;0,"Yes","No")</x:f>
        <x:v>No</x:v>
      </x:c>
      <x:c r="G16" s="10" t="str">
        <x:f>IF(AND(E16="Yes",F16="Yes"),"In all three",IF(E16="Yes","Also in Figure S17",IF(F16="Yes","Also in heatmap","Colleague only")))</x:f>
        <x:v>Also in Figure S17</x:v>
      </x:c>
    </x:row>
    <x:row r="17">
      <x:c r="A17" s="10" t="str">
        <x:v>LOC126336322</x:v>
      </x:c>
      <x:c r="B17" s="10" t="str">
        <x:v>defensin-like</x:v>
      </x:c>
      <x:c r="C17" s="10" t="str">
        <x:v>Humoral Immunity</x:v>
      </x:c>
      <x:c r="D17" s="10" t="str">
        <x:v>Antimicrobial Peptides (AMPs)</x:v>
      </x:c>
      <x:c r="E17" s="19" t="str">
        <x:f>IF(COUNTIF('Volcano 402'!$A$2:$A$403,A17)&gt;0,"Yes","No")</x:f>
        <x:v>Yes</x:v>
      </x:c>
      <x:c r="F17" s="19" t="str">
        <x:f>IF(COUNTIF('Heatmap 169'!$A$2:$A$170,A17)&gt;0,"Yes","No")</x:f>
        <x:v>No</x:v>
      </x:c>
      <x:c r="G17" s="10" t="str">
        <x:f>IF(AND(E17="Yes",F17="Yes"),"In all three",IF(E17="Yes","Also in Figure S18",IF(F17="Yes","Also in heatmap","Colleague only")))</x:f>
        <x:v>Also in Figure S18</x:v>
      </x:c>
    </x:row>
    <x:row r="18">
      <x:c r="A18" s="10" t="str">
        <x:v>LOC126336325</x:v>
      </x:c>
      <x:c r="B18" s="10" t="str">
        <x:v>defensin-like</x:v>
      </x:c>
      <x:c r="C18" s="10" t="str">
        <x:v>Humoral Immunity</x:v>
      </x:c>
      <x:c r="D18" s="10" t="str">
        <x:v>Antimicrobial Peptides (AMPs)</x:v>
      </x:c>
      <x:c r="E18" s="19" t="str">
        <x:f>IF(COUNTIF('Volcano 402'!$A$2:$A$403,A18)&gt;0,"Yes","No")</x:f>
        <x:v>Yes</x:v>
      </x:c>
      <x:c r="F18" s="19" t="str">
        <x:f>IF(COUNTIF('Heatmap 169'!$A$2:$A$170,A18)&gt;0,"Yes","No")</x:f>
        <x:v>Yes</x:v>
      </x:c>
      <x:c r="G18" s="10" t="str">
        <x:f>IF(AND(E18="Yes",F18="Yes"),"In all three",IF(E18="Yes","Also in Figure S19",IF(F18="Yes","Also in heatmap","Colleague only")))</x:f>
        <x:v>In all three</x:v>
      </x:c>
    </x:row>
    <x:row r="19">
      <x:c r="A19" s="10" t="str">
        <x:v>LOC126343175</x:v>
      </x:c>
      <x:c r="B19" s="10" t="str">
        <x:v>transferrin</x:v>
      </x:c>
      <x:c r="C19" s="10" t="str">
        <x:v>Humoral Immunity</x:v>
      </x:c>
      <x:c r="D19" s="10" t="str">
        <x:v>Antimicrobial Peptides (AMPs)</x:v>
      </x:c>
      <x:c r="E19" s="19" t="str">
        <x:f>IF(COUNTIF('Volcano 402'!$A$2:$A$403,A19)&gt;0,"Yes","No")</x:f>
        <x:v>No</x:v>
      </x:c>
      <x:c r="F19" s="19" t="str">
        <x:f>IF(COUNTIF('Heatmap 169'!$A$2:$A$170,A19)&gt;0,"Yes","No")</x:f>
        <x:v>No</x:v>
      </x:c>
      <x:c r="G19" s="10" t="str">
        <x:f>IF(AND(E19="Yes",F19="Yes"),"In all three",IF(E19="Yes","Also in Figure S20",IF(F19="Yes","Also in heatmap","Colleague only")))</x:f>
        <x:v>Colleague only</x:v>
      </x:c>
    </x:row>
    <x:row r="20">
      <x:c r="A20" s="10" t="str">
        <x:v>LOC126284216</x:v>
      </x:c>
      <x:c r="B20" s="10" t="str">
        <x:v>phenoloxidase 2-like</x:v>
      </x:c>
      <x:c r="C20" s="10" t="str">
        <x:v>Humoral Immunity</x:v>
      </x:c>
      <x:c r="D20" s="10" t="str">
        <x:v>Prophenoloxidase (proPO) System</x:v>
      </x:c>
      <x:c r="E20" s="19" t="str">
        <x:f>IF(COUNTIF('Volcano 402'!$A$2:$A$403,A20)&gt;0,"Yes","No")</x:f>
        <x:v>Yes</x:v>
      </x:c>
      <x:c r="F20" s="19" t="str">
        <x:f>IF(COUNTIF('Heatmap 169'!$A$2:$A$170,A20)&gt;0,"Yes","No")</x:f>
        <x:v>No</x:v>
      </x:c>
      <x:c r="G20" s="10" t="str">
        <x:f>IF(AND(E20="Yes",F20="Yes"),"In all three",IF(E20="Yes","Also in Figure S21",IF(F20="Yes","Also in heatmap","Colleague only")))</x:f>
        <x:v>Also in Figure S21</x:v>
      </x:c>
    </x:row>
    <x:row r="21">
      <x:c r="A21" s="10" t="str">
        <x:v>LOC126293579</x:v>
      </x:c>
      <x:c r="B21" s="10" t="str">
        <x:v>melanization protease 1-like</x:v>
      </x:c>
      <x:c r="C21" s="10" t="str">
        <x:v>Humoral Immunity</x:v>
      </x:c>
      <x:c r="D21" s="10" t="str">
        <x:v>Prophenoloxidase (proPO) System</x:v>
      </x:c>
      <x:c r="E21" s="19" t="str">
        <x:f>IF(COUNTIF('Volcano 402'!$A$2:$A$403,A21)&gt;0,"Yes","No")</x:f>
        <x:v>Yes</x:v>
      </x:c>
      <x:c r="F21" s="19" t="str">
        <x:f>IF(COUNTIF('Heatmap 169'!$A$2:$A$170,A21)&gt;0,"Yes","No")</x:f>
        <x:v>No</x:v>
      </x:c>
      <x:c r="G21" s="10" t="str">
        <x:f>IF(AND(E21="Yes",F21="Yes"),"In all three",IF(E21="Yes","Also in Figure S22",IF(F21="Yes","Also in heatmap","Colleague only")))</x:f>
        <x:v>Also in Figure S22</x:v>
      </x:c>
    </x:row>
    <x:row r="22">
      <x:c r="A22" s="10" t="str">
        <x:v>LOC126334632</x:v>
      </x:c>
      <x:c r="B22" s="10" t="str">
        <x:v>phenoloxidase 2-like</x:v>
      </x:c>
      <x:c r="C22" s="10" t="str">
        <x:v>Humoral Immunity</x:v>
      </x:c>
      <x:c r="D22" s="10" t="str">
        <x:v>Prophenoloxidase (proPO) System</x:v>
      </x:c>
      <x:c r="E22" s="19" t="str">
        <x:f>IF(COUNTIF('Volcano 402'!$A$2:$A$403,A22)&gt;0,"Yes","No")</x:f>
        <x:v>Yes</x:v>
      </x:c>
      <x:c r="F22" s="19" t="str">
        <x:f>IF(COUNTIF('Heatmap 169'!$A$2:$A$170,A22)&gt;0,"Yes","No")</x:f>
        <x:v>No</x:v>
      </x:c>
      <x:c r="G22" s="10" t="str">
        <x:f>IF(AND(E22="Yes",F22="Yes"),"In all three",IF(E22="Yes","Also in Figure S23",IF(F22="Yes","Also in heatmap","Colleague only")))</x:f>
        <x:v>Also in Figure S23</x:v>
      </x:c>
    </x:row>
    <x:row r="23">
      <x:c r="A23" s="10" t="str">
        <x:v>LOC126281690</x:v>
      </x:c>
      <x:c r="B23" s="10" t="str">
        <x:v>TNF receptor-associated factor 3</x:v>
      </x:c>
      <x:c r="C23" s="10" t="str">
        <x:v>Innate Immune Recognition &amp; Signaling</x:v>
      </x:c>
      <x:c r="D23" s="10" t="str">
        <x:v>Immune Activation &amp; Sensing (Toll/JAK-STAT/NF-κB)</x:v>
      </x:c>
      <x:c r="E23" s="19" t="str">
        <x:f>IF(COUNTIF('Volcano 402'!$A$2:$A$403,A23)&gt;0,"Yes","No")</x:f>
        <x:v>No</x:v>
      </x:c>
      <x:c r="F23" s="19" t="str">
        <x:f>IF(COUNTIF('Heatmap 169'!$A$2:$A$170,A23)&gt;0,"Yes","No")</x:f>
        <x:v>No</x:v>
      </x:c>
      <x:c r="G23" s="10" t="str">
        <x:f>IF(AND(E23="Yes",F23="Yes"),"In all three",IF(E23="Yes","Also in Figure S24",IF(F23="Yes","Also in heatmap","Colleague only")))</x:f>
        <x:v>Colleague only</x:v>
      </x:c>
    </x:row>
    <x:row r="24">
      <x:c r="A24" s="10" t="str">
        <x:v>LOC126282030</x:v>
      </x:c>
      <x:c r="B24" s="10" t="str">
        <x:v>nuclear factor NF-kappa-B p110 subunit</x:v>
      </x:c>
      <x:c r="C24" s="10" t="str">
        <x:v>Innate Immune Recognition &amp; Signaling</x:v>
      </x:c>
      <x:c r="D24" s="10" t="str">
        <x:v>Immune Activation &amp; Sensing (Toll/JAK-STAT/NF-κB)</x:v>
      </x:c>
      <x:c r="E24" s="19" t="str">
        <x:f>IF(COUNTIF('Volcano 402'!$A$2:$A$403,A24)&gt;0,"Yes","No")</x:f>
        <x:v>Yes</x:v>
      </x:c>
      <x:c r="F24" s="19" t="str">
        <x:f>IF(COUNTIF('Heatmap 169'!$A$2:$A$170,A24)&gt;0,"Yes","No")</x:f>
        <x:v>No</x:v>
      </x:c>
      <x:c r="G24" s="10" t="str">
        <x:f>IF(AND(E24="Yes",F24="Yes"),"In all three",IF(E24="Yes","Also in Figure S25",IF(F24="Yes","Also in heatmap","Colleague only")))</x:f>
        <x:v>Also in Figure S25</x:v>
      </x:c>
    </x:row>
    <x:row r="25">
      <x:c r="A25" s="10" t="str">
        <x:v>LOC126284033</x:v>
      </x:c>
      <x:c r="B25" s="10" t="str">
        <x:v>toll-like receptor 2</x:v>
      </x:c>
      <x:c r="C25" s="10" t="str">
        <x:v>Innate Immune Recognition &amp; Signaling</x:v>
      </x:c>
      <x:c r="D25" s="10" t="str">
        <x:v>Immune Activation &amp; Sensing (Toll/JAK-STAT/NF-κB)</x:v>
      </x:c>
      <x:c r="E25" s="19" t="str">
        <x:f>IF(COUNTIF('Volcano 402'!$A$2:$A$403,A25)&gt;0,"Yes","No")</x:f>
        <x:v>Yes</x:v>
      </x:c>
      <x:c r="F25" s="19" t="str">
        <x:f>IF(COUNTIF('Heatmap 169'!$A$2:$A$170,A25)&gt;0,"Yes","No")</x:f>
        <x:v>No</x:v>
      </x:c>
      <x:c r="G25" s="10" t="str">
        <x:f>IF(AND(E25="Yes",F25="Yes"),"In all three",IF(E25="Yes","Also in Figure S26",IF(F25="Yes","Also in heatmap","Colleague only")))</x:f>
        <x:v>Also in Figure S26</x:v>
      </x:c>
    </x:row>
    <x:row r="26">
      <x:c r="A26" s="10" t="str">
        <x:v>LOC126284043</x:v>
      </x:c>
      <x:c r="B26" s="10" t="str">
        <x:v>toll-like receptor 2</x:v>
      </x:c>
      <x:c r="C26" s="10" t="str">
        <x:v>Innate Immune Recognition &amp; Signaling</x:v>
      </x:c>
      <x:c r="D26" s="10" t="str">
        <x:v>Immune Activation &amp; Sensing (Toll/JAK-STAT/NF-κB)</x:v>
      </x:c>
      <x:c r="E26" s="19" t="str">
        <x:f>IF(COUNTIF('Volcano 402'!$A$2:$A$403,A26)&gt;0,"Yes","No")</x:f>
        <x:v>Yes</x:v>
      </x:c>
      <x:c r="F26" s="19" t="str">
        <x:f>IF(COUNTIF('Heatmap 169'!$A$2:$A$170,A26)&gt;0,"Yes","No")</x:f>
        <x:v>No</x:v>
      </x:c>
      <x:c r="G26" s="10" t="str">
        <x:f>IF(AND(E26="Yes",F26="Yes"),"In all three",IF(E26="Yes","Also in Figure S27",IF(F26="Yes","Also in heatmap","Colleague only")))</x:f>
        <x:v>Also in Figure S27</x:v>
      </x:c>
    </x:row>
    <x:row r="27">
      <x:c r="A27" s="10" t="str">
        <x:v>LOC126298961</x:v>
      </x:c>
      <x:c r="B27" s="10" t="str">
        <x:v>toll-like receptor Tollo</x:v>
      </x:c>
      <x:c r="C27" s="10" t="str">
        <x:v>Innate Immune Recognition &amp; Signaling</x:v>
      </x:c>
      <x:c r="D27" s="10" t="str">
        <x:v>Immune Activation &amp; Sensing (Toll/JAK-STAT/NF-κB)</x:v>
      </x:c>
      <x:c r="E27" s="19" t="str">
        <x:f>IF(COUNTIF('Volcano 402'!$A$2:$A$403,A27)&gt;0,"Yes","No")</x:f>
        <x:v>Yes</x:v>
      </x:c>
      <x:c r="F27" s="19" t="str">
        <x:f>IF(COUNTIF('Heatmap 169'!$A$2:$A$170,A27)&gt;0,"Yes","No")</x:f>
        <x:v>No</x:v>
      </x:c>
      <x:c r="G27" s="10" t="str">
        <x:f>IF(AND(E27="Yes",F27="Yes"),"In all three",IF(E27="Yes","Also in Figure S28",IF(F27="Yes","Also in heatmap","Colleague only")))</x:f>
        <x:v>Also in Figure S28</x:v>
      </x:c>
    </x:row>
    <x:row r="28">
      <x:c r="A28" s="10" t="str">
        <x:v>LOC126325205</x:v>
      </x:c>
      <x:c r="B28" s="10" t="str">
        <x:v>toll-like receptor 4</x:v>
      </x:c>
      <x:c r="C28" s="10" t="str">
        <x:v>Innate Immune Recognition &amp; Signaling</x:v>
      </x:c>
      <x:c r="D28" s="10" t="str">
        <x:v>Immune Activation &amp; Sensing (Toll/JAK-STAT/NF-κB)</x:v>
      </x:c>
      <x:c r="E28" s="19" t="str">
        <x:f>IF(COUNTIF('Volcano 402'!$A$2:$A$403,A28)&gt;0,"Yes","No")</x:f>
        <x:v>Yes</x:v>
      </x:c>
      <x:c r="F28" s="19" t="str">
        <x:f>IF(COUNTIF('Heatmap 169'!$A$2:$A$170,A28)&gt;0,"Yes","No")</x:f>
        <x:v>Yes</x:v>
      </x:c>
      <x:c r="G28" s="10" t="str">
        <x:f>IF(AND(E28="Yes",F28="Yes"),"In all three",IF(E28="Yes","Also in Figure S29",IF(F28="Yes","Also in heatmap","Colleague only")))</x:f>
        <x:v>In all three</x:v>
      </x:c>
    </x:row>
    <x:row r="29">
      <x:c r="A29" s="10" t="str">
        <x:v>LOC126325232</x:v>
      </x:c>
      <x:c r="B29" s="10" t="str">
        <x:v>toll-like receptor 2</x:v>
      </x:c>
      <x:c r="C29" s="10" t="str">
        <x:v>Innate Immune Recognition &amp; Signaling</x:v>
      </x:c>
      <x:c r="D29" s="10" t="str">
        <x:v>Immune Activation &amp; Sensing (Toll/JAK-STAT/NF-κB)</x:v>
      </x:c>
      <x:c r="E29" s="19" t="str">
        <x:f>IF(COUNTIF('Volcano 402'!$A$2:$A$403,A29)&gt;0,"Yes","No")</x:f>
        <x:v>Yes</x:v>
      </x:c>
      <x:c r="F29" s="19" t="str">
        <x:f>IF(COUNTIF('Heatmap 169'!$A$2:$A$170,A29)&gt;0,"Yes","No")</x:f>
        <x:v>Yes</x:v>
      </x:c>
      <x:c r="G29" s="10" t="str">
        <x:f>IF(AND(E29="Yes",F29="Yes"),"In all three",IF(E29="Yes","Also in Figure S30",IF(F29="Yes","Also in heatmap","Colleague only")))</x:f>
        <x:v>In all three</x:v>
      </x:c>
    </x:row>
    <x:row r="30">
      <x:c r="A30" s="10" t="str">
        <x:v>LOC126331691</x:v>
      </x:c>
      <x:c r="B30" s="10" t="str">
        <x:v>toll-like receptor 2 type-2</x:v>
      </x:c>
      <x:c r="C30" s="10" t="str">
        <x:v>Innate Immune Recognition &amp; Signaling</x:v>
      </x:c>
      <x:c r="D30" s="10" t="str">
        <x:v>Immune Activation &amp; Sensing (Toll/JAK-STAT/NF-κB)</x:v>
      </x:c>
      <x:c r="E30" s="19" t="str">
        <x:f>IF(COUNTIF('Volcano 402'!$A$2:$A$403,A30)&gt;0,"Yes","No")</x:f>
        <x:v>Yes</x:v>
      </x:c>
      <x:c r="F30" s="19" t="str">
        <x:f>IF(COUNTIF('Heatmap 169'!$A$2:$A$170,A30)&gt;0,"Yes","No")</x:f>
        <x:v>No</x:v>
      </x:c>
      <x:c r="G30" s="10" t="str">
        <x:f>IF(AND(E30="Yes",F30="Yes"),"In all three",IF(E30="Yes","Also in Figure S31",IF(F30="Yes","Also in heatmap","Colleague only")))</x:f>
        <x:v>Also in Figure S31</x:v>
      </x:c>
    </x:row>
    <x:row r="31">
      <x:c r="A31" s="10" t="str">
        <x:v>LOC126334635</x:v>
      </x:c>
      <x:c r="B31" s="10" t="str">
        <x:v>toll-like receptor 4</x:v>
      </x:c>
      <x:c r="C31" s="10" t="str">
        <x:v>Innate Immune Recognition &amp; Signaling</x:v>
      </x:c>
      <x:c r="D31" s="10" t="str">
        <x:v>Immune Activation &amp; Sensing (Toll/JAK-STAT/NF-κB)</x:v>
      </x:c>
      <x:c r="E31" s="19" t="str">
        <x:f>IF(COUNTIF('Volcano 402'!$A$2:$A$403,A31)&gt;0,"Yes","No")</x:f>
        <x:v>Yes</x:v>
      </x:c>
      <x:c r="F31" s="19" t="str">
        <x:f>IF(COUNTIF('Heatmap 169'!$A$2:$A$170,A31)&gt;0,"Yes","No")</x:f>
        <x:v>No</x:v>
      </x:c>
      <x:c r="G31" s="10" t="str">
        <x:f>IF(AND(E31="Yes",F31="Yes"),"In all three",IF(E31="Yes","Also in Figure S32",IF(F31="Yes","Also in heatmap","Colleague only")))</x:f>
        <x:v>Also in Figure S32</x:v>
      </x:c>
    </x:row>
    <x:row r="32">
      <x:c r="A32" s="10" t="str">
        <x:v>LOC126335828</x:v>
      </x:c>
      <x:c r="B32" s="10" t="str">
        <x:v>toll-like receptor 2</x:v>
      </x:c>
      <x:c r="C32" s="10" t="str">
        <x:v>Innate Immune Recognition &amp; Signaling</x:v>
      </x:c>
      <x:c r="D32" s="10" t="str">
        <x:v>Immune Activation &amp; Sensing (Toll/JAK-STAT/NF-κB)</x:v>
      </x:c>
      <x:c r="E32" s="19" t="str">
        <x:f>IF(COUNTIF('Volcano 402'!$A$2:$A$403,A32)&gt;0,"Yes","No")</x:f>
        <x:v>Yes</x:v>
      </x:c>
      <x:c r="F32" s="19" t="str">
        <x:f>IF(COUNTIF('Heatmap 169'!$A$2:$A$170,A32)&gt;0,"Yes","No")</x:f>
        <x:v>No</x:v>
      </x:c>
      <x:c r="G32" s="10" t="str">
        <x:f>IF(AND(E32="Yes",F32="Yes"),"In all three",IF(E32="Yes","Also in Figure S33",IF(F32="Yes","Also in heatmap","Colleague only")))</x:f>
        <x:v>Also in Figure S33</x:v>
      </x:c>
    </x:row>
    <x:row r="33">
      <x:c r="A33" s="10" t="str">
        <x:v>LOC126356285</x:v>
      </x:c>
      <x:c r="B33" s="10" t="str">
        <x:v>toll-like receptor 2</x:v>
      </x:c>
      <x:c r="C33" s="10" t="str">
        <x:v>Innate Immune Recognition &amp; Signaling</x:v>
      </x:c>
      <x:c r="D33" s="10" t="str">
        <x:v>Immune Activation &amp; Sensing (Toll/JAK-STAT/NF-κB)</x:v>
      </x:c>
      <x:c r="E33" s="19" t="str">
        <x:f>IF(COUNTIF('Volcano 402'!$A$2:$A$403,A33)&gt;0,"Yes","No")</x:f>
        <x:v>Yes</x:v>
      </x:c>
      <x:c r="F33" s="19" t="str">
        <x:f>IF(COUNTIF('Heatmap 169'!$A$2:$A$170,A33)&gt;0,"Yes","No")</x:f>
        <x:v>No</x:v>
      </x:c>
      <x:c r="G33" s="10" t="str">
        <x:f>IF(AND(E33="Yes",F33="Yes"),"In all three",IF(E33="Yes","Also in Figure S34",IF(F33="Yes","Also in heatmap","Colleague only")))</x:f>
        <x:v>Also in Figure S34</x:v>
      </x:c>
    </x:row>
    <x:row r="34">
      <x:c r="A34" s="10" t="str">
        <x:v>LOC126359055</x:v>
      </x:c>
      <x:c r="B34" s="10" t="str">
        <x:v>toll-like receptor 2</x:v>
      </x:c>
      <x:c r="C34" s="10" t="str">
        <x:v>Innate Immune Recognition &amp; Signaling</x:v>
      </x:c>
      <x:c r="D34" s="10" t="str">
        <x:v>Immune Activation &amp; Sensing (Toll/JAK-STAT/NF-κB)</x:v>
      </x:c>
      <x:c r="E34" s="19" t="str">
        <x:f>IF(COUNTIF('Volcano 402'!$A$2:$A$403,A34)&gt;0,"Yes","No")</x:f>
        <x:v>Yes</x:v>
      </x:c>
      <x:c r="F34" s="19" t="str">
        <x:f>IF(COUNTIF('Heatmap 169'!$A$2:$A$170,A34)&gt;0,"Yes","No")</x:f>
        <x:v>No</x:v>
      </x:c>
      <x:c r="G34" s="10" t="str">
        <x:f>IF(AND(E34="Yes",F34="Yes"),"In all three",IF(E34="Yes","Also in Figure S35",IF(F34="Yes","Also in heatmap","Colleague only")))</x:f>
        <x:v>Also in Figure S35</x:v>
      </x:c>
    </x:row>
    <x:row r="35">
      <x:c r="A35" s="10" t="str">
        <x:v>LOC126359091</x:v>
      </x:c>
      <x:c r="B35" s="10" t="str">
        <x:v>toll-like receptor 2 type-2</x:v>
      </x:c>
      <x:c r="C35" s="10" t="str">
        <x:v>Innate Immune Recognition &amp; Signaling</x:v>
      </x:c>
      <x:c r="D35" s="10" t="str">
        <x:v>Immune Activation &amp; Sensing (Toll/JAK-STAT/NF-κB)</x:v>
      </x:c>
      <x:c r="E35" s="19" t="str">
        <x:f>IF(COUNTIF('Volcano 402'!$A$2:$A$403,A35)&gt;0,"Yes","No")</x:f>
        <x:v>Yes</x:v>
      </x:c>
      <x:c r="F35" s="19" t="str">
        <x:f>IF(COUNTIF('Heatmap 169'!$A$2:$A$170,A35)&gt;0,"Yes","No")</x:f>
        <x:v>No</x:v>
      </x:c>
      <x:c r="G35" s="10" t="str">
        <x:f>IF(AND(E35="Yes",F35="Yes"),"In all three",IF(E35="Yes","Also in Figure S36",IF(F35="Yes","Also in heatmap","Colleague only")))</x:f>
        <x:v>Also in Figure S36</x:v>
      </x:c>
    </x:row>
    <x:row r="36">
      <x:c r="A36" s="10" t="str">
        <x:v>LOC126266760</x:v>
      </x:c>
      <x:c r="B36" s="10" t="str">
        <x:v>peptidoglycan recognition protein-like</x:v>
      </x:c>
      <x:c r="C36" s="10" t="str">
        <x:v>Innate Immune Recognition &amp; Signaling</x:v>
      </x:c>
      <x:c r="D36" s="10" t="str">
        <x:v>Pattern Recognition Receptors (PRRs)</x:v>
      </x:c>
      <x:c r="E36" s="19" t="str">
        <x:f>IF(COUNTIF('Volcano 402'!$A$2:$A$403,A36)&gt;0,"Yes","No")</x:f>
        <x:v>Yes</x:v>
      </x:c>
      <x:c r="F36" s="19" t="str">
        <x:f>IF(COUNTIF('Heatmap 169'!$A$2:$A$170,A36)&gt;0,"Yes","No")</x:f>
        <x:v>Yes</x:v>
      </x:c>
      <x:c r="G36" s="10" t="str">
        <x:f>IF(AND(E36="Yes",F36="Yes"),"In all three",IF(E36="Yes","Also in Figure S37",IF(F36="Yes","Also in heatmap","Colleague only")))</x:f>
        <x:v>In all three</x:v>
      </x:c>
    </x:row>
    <x:row r="37">
      <x:c r="A37" s="10" t="str">
        <x:v>LOC126267061</x:v>
      </x:c>
      <x:c r="B37" s="10" t="str">
        <x:v>peptidoglycan recognition protein 1-like</x:v>
      </x:c>
      <x:c r="C37" s="10" t="str">
        <x:v>Innate Immune Recognition &amp; Signaling</x:v>
      </x:c>
      <x:c r="D37" s="10" t="str">
        <x:v>Pattern Recognition Receptors (PRRs)</x:v>
      </x:c>
      <x:c r="E37" s="19" t="str">
        <x:f>IF(COUNTIF('Volcano 402'!$A$2:$A$403,A37)&gt;0,"Yes","No")</x:f>
        <x:v>Yes</x:v>
      </x:c>
      <x:c r="F37" s="19" t="str">
        <x:f>IF(COUNTIF('Heatmap 169'!$A$2:$A$170,A37)&gt;0,"Yes","No")</x:f>
        <x:v>No</x:v>
      </x:c>
      <x:c r="G37" s="10" t="str">
        <x:f>IF(AND(E37="Yes",F37="Yes"),"In all three",IF(E37="Yes","Also in Figure S38",IF(F37="Yes","Also in heatmap","Colleague only")))</x:f>
        <x:v>Also in Figure S38</x:v>
      </x:c>
    </x:row>
    <x:row r="38">
      <x:c r="A38" s="10" t="str">
        <x:v>LOC126267163</x:v>
      </x:c>
      <x:c r="B38" s="10" t="str">
        <x:v>peptidoglycan-recognition protein SA-like</x:v>
      </x:c>
      <x:c r="C38" s="10" t="str">
        <x:v>Innate Immune Recognition &amp; Signaling</x:v>
      </x:c>
      <x:c r="D38" s="10" t="str">
        <x:v>Pattern Recognition Receptors (PRRs)</x:v>
      </x:c>
      <x:c r="E38" s="19" t="str">
        <x:f>IF(COUNTIF('Volcano 402'!$A$2:$A$403,A38)&gt;0,"Yes","No")</x:f>
        <x:v>Yes</x:v>
      </x:c>
      <x:c r="F38" s="19" t="str">
        <x:f>IF(COUNTIF('Heatmap 169'!$A$2:$A$170,A38)&gt;0,"Yes","No")</x:f>
        <x:v>Yes</x:v>
      </x:c>
      <x:c r="G38" s="10" t="str">
        <x:f>IF(AND(E38="Yes",F38="Yes"),"In all three",IF(E38="Yes","Also in Figure S39",IF(F38="Yes","Also in heatmap","Colleague only")))</x:f>
        <x:v>In all three</x:v>
      </x:c>
    </x:row>
    <x:row r="39">
      <x:c r="A39" s="10" t="str">
        <x:v>LOC126267215</x:v>
      </x:c>
      <x:c r="B39" s="10" t="str">
        <x:v>peptidoglycan recognition protein 1-like</x:v>
      </x:c>
      <x:c r="C39" s="10" t="str">
        <x:v>Innate Immune Recognition &amp; Signaling</x:v>
      </x:c>
      <x:c r="D39" s="10" t="str">
        <x:v>Pattern Recognition Receptors (PRRs)</x:v>
      </x:c>
      <x:c r="E39" s="19" t="str">
        <x:f>IF(COUNTIF('Volcano 402'!$A$2:$A$403,A39)&gt;0,"Yes","No")</x:f>
        <x:v>Yes</x:v>
      </x:c>
      <x:c r="F39" s="19" t="str">
        <x:f>IF(COUNTIF('Heatmap 169'!$A$2:$A$170,A39)&gt;0,"Yes","No")</x:f>
        <x:v>Yes</x:v>
      </x:c>
      <x:c r="G39" s="10" t="str">
        <x:f>IF(AND(E39="Yes",F39="Yes"),"In all three",IF(E39="Yes","Also in Figure S40",IF(F39="Yes","Also in heatmap","Colleague only")))</x:f>
        <x:v>In all three</x:v>
      </x:c>
    </x:row>
    <x:row r="40">
      <x:c r="A40" s="10" t="str">
        <x:v>LOC126267216</x:v>
      </x:c>
      <x:c r="B40" s="10" t="str">
        <x:v>peptidoglycan recognition protein 1-like</x:v>
      </x:c>
      <x:c r="C40" s="10" t="str">
        <x:v>Innate Immune Recognition &amp; Signaling</x:v>
      </x:c>
      <x:c r="D40" s="10" t="str">
        <x:v>Pattern Recognition Receptors (PRRs)</x:v>
      </x:c>
      <x:c r="E40" s="19" t="str">
        <x:f>IF(COUNTIF('Volcano 402'!$A$2:$A$403,A40)&gt;0,"Yes","No")</x:f>
        <x:v>Yes</x:v>
      </x:c>
      <x:c r="F40" s="19" t="str">
        <x:f>IF(COUNTIF('Heatmap 169'!$A$2:$A$170,A40)&gt;0,"Yes","No")</x:f>
        <x:v>Yes</x:v>
      </x:c>
      <x:c r="G40" s="10" t="str">
        <x:f>IF(AND(E40="Yes",F40="Yes"),"In all three",IF(E40="Yes","Also in Figure S41",IF(F40="Yes","Also in heatmap","Colleague only")))</x:f>
        <x:v>In all three</x:v>
      </x:c>
    </x:row>
    <x:row r="41">
      <x:c r="A41" s="10" t="str">
        <x:v>LOC126267217</x:v>
      </x:c>
      <x:c r="B41" s="10" t="str">
        <x:v>peptidoglycan recognition protein 1-like</x:v>
      </x:c>
      <x:c r="C41" s="10" t="str">
        <x:v>Innate Immune Recognition &amp; Signaling</x:v>
      </x:c>
      <x:c r="D41" s="10" t="str">
        <x:v>Pattern Recognition Receptors (PRRs)</x:v>
      </x:c>
      <x:c r="E41" s="19" t="str">
        <x:f>IF(COUNTIF('Volcano 402'!$A$2:$A$403,A41)&gt;0,"Yes","No")</x:f>
        <x:v>Yes</x:v>
      </x:c>
      <x:c r="F41" s="19" t="str">
        <x:f>IF(COUNTIF('Heatmap 169'!$A$2:$A$170,A41)&gt;0,"Yes","No")</x:f>
        <x:v>No</x:v>
      </x:c>
      <x:c r="G41" s="10" t="str">
        <x:f>IF(AND(E41="Yes",F41="Yes"),"In all three",IF(E41="Yes","Also in Figure S42",IF(F41="Yes","Also in heatmap","Colleague only")))</x:f>
        <x:v>Also in Figure S42</x:v>
      </x:c>
    </x:row>
    <x:row r="42">
      <x:c r="A42" s="10" t="str">
        <x:v>LOC126267652</x:v>
      </x:c>
      <x:c r="B42" s="10" t="str">
        <x:v>peptidoglycan-recognition protein SC1a-like</x:v>
      </x:c>
      <x:c r="C42" s="10" t="str">
        <x:v>Innate Immune Recognition &amp; Signaling</x:v>
      </x:c>
      <x:c r="D42" s="10" t="str">
        <x:v>Pattern Recognition Receptors (PRRs)</x:v>
      </x:c>
      <x:c r="E42" s="19" t="str">
        <x:f>IF(COUNTIF('Volcano 402'!$A$2:$A$403,A42)&gt;0,"Yes","No")</x:f>
        <x:v>Yes</x:v>
      </x:c>
      <x:c r="F42" s="19" t="str">
        <x:f>IF(COUNTIF('Heatmap 169'!$A$2:$A$170,A42)&gt;0,"Yes","No")</x:f>
        <x:v>Yes</x:v>
      </x:c>
      <x:c r="G42" s="10" t="str">
        <x:f>IF(AND(E42="Yes",F42="Yes"),"In all three",IF(E42="Yes","Also in Figure S43",IF(F42="Yes","Also in heatmap","Colleague only")))</x:f>
        <x:v>In all three</x:v>
      </x:c>
    </x:row>
    <x:row r="43">
      <x:c r="A43" s="10" t="str">
        <x:v>LOC126268068</x:v>
      </x:c>
      <x:c r="B43" s="10" t="str">
        <x:v>peptidoglycan recognition protein 1-like</x:v>
      </x:c>
      <x:c r="C43" s="10" t="str">
        <x:v>Innate Immune Recognition &amp; Signaling</x:v>
      </x:c>
      <x:c r="D43" s="10" t="str">
        <x:v>Pattern Recognition Receptors (PRRs)</x:v>
      </x:c>
      <x:c r="E43" s="19" t="str">
        <x:f>IF(COUNTIF('Volcano 402'!$A$2:$A$403,A43)&gt;0,"Yes","No")</x:f>
        <x:v>Yes</x:v>
      </x:c>
      <x:c r="F43" s="19" t="str">
        <x:f>IF(COUNTIF('Heatmap 169'!$A$2:$A$170,A43)&gt;0,"Yes","No")</x:f>
        <x:v>Yes</x:v>
      </x:c>
      <x:c r="G43" s="10" t="str">
        <x:f>IF(AND(E43="Yes",F43="Yes"),"In all three",IF(E43="Yes","Also in Figure S44",IF(F43="Yes","Also in heatmap","Colleague only")))</x:f>
        <x:v>In all three</x:v>
      </x:c>
    </x:row>
    <x:row r="44">
      <x:c r="A44" s="10" t="str">
        <x:v>LOC126284462</x:v>
      </x:c>
      <x:c r="B44" s="10" t="str">
        <x:v>peptidoglycan-recognition protein LC-like</x:v>
      </x:c>
      <x:c r="C44" s="10" t="str">
        <x:v>Innate Immune Recognition &amp; Signaling</x:v>
      </x:c>
      <x:c r="D44" s="10" t="str">
        <x:v>Pattern Recognition Receptors (PRRs)</x:v>
      </x:c>
      <x:c r="E44" s="19" t="str">
        <x:f>IF(COUNTIF('Volcano 402'!$A$2:$A$403,A44)&gt;0,"Yes","No")</x:f>
        <x:v>Yes</x:v>
      </x:c>
      <x:c r="F44" s="19" t="str">
        <x:f>IF(COUNTIF('Heatmap 169'!$A$2:$A$170,A44)&gt;0,"Yes","No")</x:f>
        <x:v>No</x:v>
      </x:c>
      <x:c r="G44" s="10" t="str">
        <x:f>IF(AND(E44="Yes",F44="Yes"),"In all three",IF(E44="Yes","Also in Figure S45",IF(F44="Yes","Also in heatmap","Colleague only")))</x:f>
        <x:v>Also in Figure S45</x:v>
      </x:c>
    </x:row>
    <x:row r="45">
      <x:c r="A45" s="10" t="str">
        <x:v>LOC126284463</x:v>
      </x:c>
      <x:c r="B45" s="10" t="str">
        <x:v>peptidoglycan-recognition protein LB-like</x:v>
      </x:c>
      <x:c r="C45" s="10" t="str">
        <x:v>Innate Immune Recognition &amp; Signaling</x:v>
      </x:c>
      <x:c r="D45" s="10" t="str">
        <x:v>Pattern Recognition Receptors (PRRs)</x:v>
      </x:c>
      <x:c r="E45" s="19" t="str">
        <x:f>IF(COUNTIF('Volcano 402'!$A$2:$A$403,A45)&gt;0,"Yes","No")</x:f>
        <x:v>Yes</x:v>
      </x:c>
      <x:c r="F45" s="19" t="str">
        <x:f>IF(COUNTIF('Heatmap 169'!$A$2:$A$170,A45)&gt;0,"Yes","No")</x:f>
        <x:v>No</x:v>
      </x:c>
      <x:c r="G45" s="10" t="str">
        <x:f>IF(AND(E45="Yes",F45="Yes"),"In all three",IF(E45="Yes","Also in Figure S46",IF(F45="Yes","Also in heatmap","Colleague only")))</x:f>
        <x:v>Also in Figure S46</x:v>
      </x:c>
    </x:row>
    <x:row r="46">
      <x:c r="A46" s="10" t="str">
        <x:v>LOC126284543</x:v>
      </x:c>
      <x:c r="B46" s="10" t="str">
        <x:v>scavenger receptor class B member 1-like</x:v>
      </x:c>
      <x:c r="C46" s="10" t="str">
        <x:v>Innate Immune Recognition &amp; Signaling</x:v>
      </x:c>
      <x:c r="D46" s="10" t="str">
        <x:v>Pattern Recognition Receptors (PRRs)</x:v>
      </x:c>
      <x:c r="E46" s="19" t="str">
        <x:f>IF(COUNTIF('Volcano 402'!$A$2:$A$403,A46)&gt;0,"Yes","No")</x:f>
        <x:v>No</x:v>
      </x:c>
      <x:c r="F46" s="19" t="str">
        <x:f>IF(COUNTIF('Heatmap 169'!$A$2:$A$170,A46)&gt;0,"Yes","No")</x:f>
        <x:v>No</x:v>
      </x:c>
      <x:c r="G46" s="10" t="str">
        <x:f>IF(AND(E46="Yes",F46="Yes"),"In all three",IF(E46="Yes","Also in Figure S47",IF(F46="Yes","Also in heatmap","Colleague only")))</x:f>
        <x:v>Colleague only</x:v>
      </x:c>
    </x:row>
    <x:row r="47">
      <x:c r="A47" s="10" t="str">
        <x:v>LOC126284941</x:v>
      </x:c>
      <x:c r="B47" s="10" t="str">
        <x:v>lithostathine-1-like</x:v>
      </x:c>
      <x:c r="C47" s="10" t="str">
        <x:v>Innate Immune Recognition &amp; Signaling</x:v>
      </x:c>
      <x:c r="D47" s="10" t="str">
        <x:v>Pattern Recognition Receptors (PRRs)</x:v>
      </x:c>
      <x:c r="E47" s="19" t="str">
        <x:f>IF(COUNTIF('Volcano 402'!$A$2:$A$403,A47)&gt;0,"Yes","No")</x:f>
        <x:v>Yes</x:v>
      </x:c>
      <x:c r="F47" s="19" t="str">
        <x:f>IF(COUNTIF('Heatmap 169'!$A$2:$A$170,A47)&gt;0,"Yes","No")</x:f>
        <x:v>No</x:v>
      </x:c>
      <x:c r="G47" s="10" t="str">
        <x:f>IF(AND(E47="Yes",F47="Yes"),"In all three",IF(E47="Yes","Also in Figure S48",IF(F47="Yes","Also in heatmap","Colleague only")))</x:f>
        <x:v>Also in Figure S48</x:v>
      </x:c>
    </x:row>
    <x:row r="48">
      <x:c r="A48" s="10" t="str">
        <x:v>LOC126329244</x:v>
      </x:c>
      <x:c r="B48" s="10" t="str">
        <x:v>sushi%2C von Willebrand factor type A%2C EGF and pentraxin domain-containing protein 1</x:v>
      </x:c>
      <x:c r="C48" s="10" t="str">
        <x:v>Innate Immune Recognition &amp; Signaling</x:v>
      </x:c>
      <x:c r="D48" s="10" t="str">
        <x:v>Pattern Recognition Receptors (PRRs)</x:v>
      </x:c>
      <x:c r="E48" s="19" t="str">
        <x:f>IF(COUNTIF('Volcano 402'!$A$2:$A$403,A48)&gt;0,"Yes","No")</x:f>
        <x:v>Yes</x:v>
      </x:c>
      <x:c r="F48" s="19" t="str">
        <x:f>IF(COUNTIF('Heatmap 169'!$A$2:$A$170,A48)&gt;0,"Yes","No")</x:f>
        <x:v>No</x:v>
      </x:c>
      <x:c r="G48" s="10" t="str">
        <x:f>IF(AND(E48="Yes",F48="Yes"),"In all three",IF(E48="Yes","Also in Figure S49",IF(F48="Yes","Also in heatmap","Colleague only")))</x:f>
        <x:v>Also in Figure S49</x:v>
      </x:c>
    </x:row>
    <x:row r="49">
      <x:c r="A49" s="10" t="str">
        <x:v>LOC126272748</x:v>
      </x:c>
      <x:c r="B49" s="10" t="str">
        <x:v>SPRY domain-containing SOCS box protein 3</x:v>
      </x:c>
      <x:c r="C49" s="10" t="str">
        <x:v>Innate Immune Recognition &amp; Signaling</x:v>
      </x:c>
      <x:c r="D49" s="10" t="str">
        <x:v>Post-Translational Regulation &amp; Feedback Control</x:v>
      </x:c>
      <x:c r="E49" s="19" t="str">
        <x:f>IF(COUNTIF('Volcano 402'!$A$2:$A$403,A49)&gt;0,"Yes","No")</x:f>
        <x:v>No</x:v>
      </x:c>
      <x:c r="F49" s="19" t="str">
        <x:f>IF(COUNTIF('Heatmap 169'!$A$2:$A$170,A49)&gt;0,"Yes","No")</x:f>
        <x:v>No</x:v>
      </x:c>
      <x:c r="G49" s="10" t="str">
        <x:f>IF(AND(E49="Yes",F49="Yes"),"In all three",IF(E49="Yes","Also in Figure S50",IF(F49="Yes","Also in heatmap","Colleague only")))</x:f>
        <x:v>Colleague only</x:v>
      </x:c>
    </x:row>
    <x:row r="50">
      <x:c r="A50" s="10" t="str">
        <x:v>LOC126295382</x:v>
      </x:c>
      <x:c r="B50" s="10" t="str">
        <x:v>ankyrin repeat and SOCS box protein 2-like</x:v>
      </x:c>
      <x:c r="C50" s="10" t="str">
        <x:v>Innate Immune Recognition &amp; Signaling</x:v>
      </x:c>
      <x:c r="D50" s="10" t="str">
        <x:v>Post-Translational Regulation &amp; Feedback Control</x:v>
      </x:c>
      <x:c r="E50" s="19" t="str">
        <x:f>IF(COUNTIF('Volcano 402'!$A$2:$A$403,A50)&gt;0,"Yes","No")</x:f>
        <x:v>No</x:v>
      </x:c>
      <x:c r="F50" s="19" t="str">
        <x:f>IF(COUNTIF('Heatmap 169'!$A$2:$A$170,A50)&gt;0,"Yes","No")</x:f>
        <x:v>No</x:v>
      </x:c>
      <x:c r="G50" s="10" t="str">
        <x:f>IF(AND(E50="Yes",F50="Yes"),"In all three",IF(E50="Yes","Also in Figure S51",IF(F50="Yes","Also in heatmap","Colleague only")))</x:f>
        <x:v>Colleague only</x:v>
      </x:c>
    </x:row>
    <x:row r="51">
      <x:c r="A51" s="10" t="str">
        <x:v>LOC126266641</x:v>
      </x:c>
      <x:c r="B51" s="10" t="str">
        <x:v>serine protease snake-like</x:v>
      </x:c>
      <x:c r="C51" s="10" t="str">
        <x:v>Innate Immune Recognition &amp; Signaling</x:v>
      </x:c>
      <x:c r="D51" s="10" t="str">
        <x:v>Serine Protease Cascades</x:v>
      </x:c>
      <x:c r="E51" s="19" t="str">
        <x:f>IF(COUNTIF('Volcano 402'!$A$2:$A$403,A51)&gt;0,"Yes","No")</x:f>
        <x:v>No</x:v>
      </x:c>
      <x:c r="F51" s="19" t="str">
        <x:f>IF(COUNTIF('Heatmap 169'!$A$2:$A$170,A51)&gt;0,"Yes","No")</x:f>
        <x:v>No</x:v>
      </x:c>
      <x:c r="G51" s="10" t="str">
        <x:f>IF(AND(E51="Yes",F51="Yes"),"In all three",IF(E51="Yes","Also in Figure S52",IF(F51="Yes","Also in heatmap","Colleague only")))</x:f>
        <x:v>Colleague only</x:v>
      </x:c>
    </x:row>
    <x:row r="52">
      <x:c r="A52" s="10" t="str">
        <x:v>LOC126266899</x:v>
      </x:c>
      <x:c r="B52" s="10" t="str">
        <x:v>serine protease snake-like</x:v>
      </x:c>
      <x:c r="C52" s="10" t="str">
        <x:v>Innate Immune Recognition &amp; Signaling</x:v>
      </x:c>
      <x:c r="D52" s="10" t="str">
        <x:v>Serine Protease Cascades</x:v>
      </x:c>
      <x:c r="E52" s="19" t="str">
        <x:f>IF(COUNTIF('Volcano 402'!$A$2:$A$403,A52)&gt;0,"Yes","No")</x:f>
        <x:v>No</x:v>
      </x:c>
      <x:c r="F52" s="19" t="str">
        <x:f>IF(COUNTIF('Heatmap 169'!$A$2:$A$170,A52)&gt;0,"Yes","No")</x:f>
        <x:v>No</x:v>
      </x:c>
      <x:c r="G52" s="10" t="str">
        <x:f>IF(AND(E52="Yes",F52="Yes"),"In all three",IF(E52="Yes","Also in Figure S53",IF(F52="Yes","Also in heatmap","Colleague only")))</x:f>
        <x:v>Colleague only</x:v>
      </x:c>
    </x:row>
    <x:row r="53">
      <x:c r="A53" s="10" t="str">
        <x:v>LOC126267442</x:v>
      </x:c>
      <x:c r="B53" s="10" t="str">
        <x:v>CLIP domain-containing serine protease 14D-like</x:v>
      </x:c>
      <x:c r="C53" s="10" t="str">
        <x:v>Innate Immune Recognition &amp; Signaling</x:v>
      </x:c>
      <x:c r="D53" s="10" t="str">
        <x:v>Serine Protease Cascades</x:v>
      </x:c>
      <x:c r="E53" s="19" t="str">
        <x:f>IF(COUNTIF('Volcano 402'!$A$2:$A$403,A53)&gt;0,"Yes","No")</x:f>
        <x:v>No</x:v>
      </x:c>
      <x:c r="F53" s="19" t="str">
        <x:f>IF(COUNTIF('Heatmap 169'!$A$2:$A$170,A53)&gt;0,"Yes","No")</x:f>
        <x:v>No</x:v>
      </x:c>
      <x:c r="G53" s="10" t="str">
        <x:f>IF(AND(E53="Yes",F53="Yes"),"In all three",IF(E53="Yes","Also in Figure S54",IF(F53="Yes","Also in heatmap","Colleague only")))</x:f>
        <x:v>Colleague only</x:v>
      </x:c>
    </x:row>
    <x:row r="54">
      <x:c r="A54" s="10" t="str">
        <x:v>LOC126267545</x:v>
      </x:c>
      <x:c r="B54" s="10" t="str">
        <x:v>serine protease Hayan-like</x:v>
      </x:c>
      <x:c r="C54" s="10" t="str">
        <x:v>Innate Immune Recognition &amp; Signaling</x:v>
      </x:c>
      <x:c r="D54" s="10" t="str">
        <x:v>Serine Protease Cascades</x:v>
      </x:c>
      <x:c r="E54" s="19" t="str">
        <x:f>IF(COUNTIF('Volcano 402'!$A$2:$A$403,A54)&gt;0,"Yes","No")</x:f>
        <x:v>No</x:v>
      </x:c>
      <x:c r="F54" s="19" t="str">
        <x:f>IF(COUNTIF('Heatmap 169'!$A$2:$A$170,A54)&gt;0,"Yes","No")</x:f>
        <x:v>Yes</x:v>
      </x:c>
      <x:c r="G54" s="10" t="str">
        <x:f>IF(AND(E54="Yes",F54="Yes"),"In all three",IF(E54="Yes","Also in Figure S55",IF(F54="Yes","Also in heatmap","Colleague only")))</x:f>
        <x:v>Also in heatmap</x:v>
      </x:c>
    </x:row>
    <x:row r="55">
      <x:c r="A55" s="10" t="str">
        <x:v>LOC126281581</x:v>
      </x:c>
      <x:c r="B55" s="10" t="str">
        <x:v>modular serine protease-like</x:v>
      </x:c>
      <x:c r="C55" s="10" t="str">
        <x:v>Innate Immune Recognition &amp; Signaling</x:v>
      </x:c>
      <x:c r="D55" s="10" t="str">
        <x:v>Serine Protease Cascades</x:v>
      </x:c>
      <x:c r="E55" s="19" t="str">
        <x:f>IF(COUNTIF('Volcano 402'!$A$2:$A$403,A55)&gt;0,"Yes","No")</x:f>
        <x:v>No</x:v>
      </x:c>
      <x:c r="F55" s="19" t="str">
        <x:f>IF(COUNTIF('Heatmap 169'!$A$2:$A$170,A55)&gt;0,"Yes","No")</x:f>
        <x:v>No</x:v>
      </x:c>
      <x:c r="G55" s="10" t="str">
        <x:f>IF(AND(E55="Yes",F55="Yes"),"In all three",IF(E55="Yes","Also in Figure S56",IF(F55="Yes","Also in heatmap","Colleague only")))</x:f>
        <x:v>Colleague only</x:v>
      </x:c>
    </x:row>
    <x:row r="56">
      <x:c r="A56" s="10" t="str">
        <x:v>LOC126282207</x:v>
      </x:c>
      <x:c r="B56" s="10" t="str">
        <x:v>modular serine protease-like</x:v>
      </x:c>
      <x:c r="C56" s="10" t="str">
        <x:v>Innate Immune Recognition &amp; Signaling</x:v>
      </x:c>
      <x:c r="D56" s="10" t="str">
        <x:v>Serine Protease Cascades</x:v>
      </x:c>
      <x:c r="E56" s="19" t="str">
        <x:f>IF(COUNTIF('Volcano 402'!$A$2:$A$403,A56)&gt;0,"Yes","No")</x:f>
        <x:v>No</x:v>
      </x:c>
      <x:c r="F56" s="19" t="str">
        <x:f>IF(COUNTIF('Heatmap 169'!$A$2:$A$170,A56)&gt;0,"Yes","No")</x:f>
        <x:v>No</x:v>
      </x:c>
      <x:c r="G56" s="10" t="str">
        <x:f>IF(AND(E56="Yes",F56="Yes"),"In all three",IF(E56="Yes","Also in Figure S57",IF(F56="Yes","Also in heatmap","Colleague only")))</x:f>
        <x:v>Colleague only</x:v>
      </x:c>
    </x:row>
    <x:row r="57">
      <x:c r="A57" s="10" t="str">
        <x:v>LOC126335013</x:v>
      </x:c>
      <x:c r="B57" s="10" t="str">
        <x:v>serine protease snake-like</x:v>
      </x:c>
      <x:c r="C57" s="10" t="str">
        <x:v>Innate Immune Recognition &amp; Signaling</x:v>
      </x:c>
      <x:c r="D57" s="10" t="str">
        <x:v>Serine Protease Cascades</x:v>
      </x:c>
      <x:c r="E57" s="19" t="str">
        <x:f>IF(COUNTIF('Volcano 402'!$A$2:$A$403,A57)&gt;0,"Yes","No")</x:f>
        <x:v>No</x:v>
      </x:c>
      <x:c r="F57" s="19" t="str">
        <x:f>IF(COUNTIF('Heatmap 169'!$A$2:$A$170,A57)&gt;0,"Yes","No")</x:f>
        <x:v>No</x:v>
      </x:c>
      <x:c r="G57" s="10" t="str">
        <x:f>IF(AND(E57="Yes",F57="Yes"),"In all three",IF(E57="Yes","Also in Figure S58",IF(F57="Yes","Also in heatmap","Colleague only")))</x:f>
        <x:v>Colleague only</x:v>
      </x:c>
    </x:row>
    <x:row r="58">
      <x:c r="A58" s="10" t="str">
        <x:v>LOC126336990</x:v>
      </x:c>
      <x:c r="B58" s="10" t="str">
        <x:v>serine protease HTR4</x:v>
      </x:c>
      <x:c r="C58" s="10" t="str">
        <x:v>Innate Immune Recognition &amp; Signaling</x:v>
      </x:c>
      <x:c r="D58" s="10" t="str">
        <x:v>Serine Protease Cascades</x:v>
      </x:c>
      <x:c r="E58" s="19" t="str">
        <x:f>IF(COUNTIF('Volcano 402'!$A$2:$A$403,A58)&gt;0,"Yes","No")</x:f>
        <x:v>No</x:v>
      </x:c>
      <x:c r="F58" s="19" t="str">
        <x:f>IF(COUNTIF('Heatmap 169'!$A$2:$A$170,A58)&gt;0,"Yes","No")</x:f>
        <x:v>No</x:v>
      </x:c>
      <x:c r="G58" s="10" t="str">
        <x:f>IF(AND(E58="Yes",F58="Yes"),"In all three",IF(E58="Yes","Also in Figure S59",IF(F58="Yes","Also in heatmap","Colleague only")))</x:f>
        <x:v>Colleague only</x:v>
      </x:c>
    </x:row>
    <x:row r="59">
      <x:c r="A59" s="10" t="str">
        <x:v>LOC126352796</x:v>
      </x:c>
      <x:c r="B59" s="10" t="str">
        <x:v>CLIP domain-containing serine protease HP8-like</x:v>
      </x:c>
      <x:c r="C59" s="10" t="str">
        <x:v>Innate Immune Recognition &amp; Signaling</x:v>
      </x:c>
      <x:c r="D59" s="10" t="str">
        <x:v>Serine Protease Cascades</x:v>
      </x:c>
      <x:c r="E59" s="19" t="str">
        <x:f>IF(COUNTIF('Volcano 402'!$A$2:$A$403,A59)&gt;0,"Yes","No")</x:f>
        <x:v>No</x:v>
      </x:c>
      <x:c r="F59" s="19" t="str">
        <x:f>IF(COUNTIF('Heatmap 169'!$A$2:$A$170,A59)&gt;0,"Yes","No")</x:f>
        <x:v>No</x:v>
      </x:c>
      <x:c r="G59" s="10" t="str">
        <x:f>IF(AND(E59="Yes",F59="Yes"),"In all three",IF(E59="Yes","Also in Figure S60",IF(F59="Yes","Also in heatmap","Colleague only")))</x:f>
        <x:v>Colleague only</x:v>
      </x:c>
    </x:row>
    <x:row r="60">
      <x:c r="A60" s="10" t="str">
        <x:v>LOC126353952</x:v>
      </x:c>
      <x:c r="B60" s="10" t="str">
        <x:v>serine protease snake-like</x:v>
      </x:c>
      <x:c r="C60" s="10" t="str">
        <x:v>Innate Immune Recognition &amp; Signaling</x:v>
      </x:c>
      <x:c r="D60" s="10" t="str">
        <x:v>Serine Protease Cascades</x:v>
      </x:c>
      <x:c r="E60" s="19" t="str">
        <x:f>IF(COUNTIF('Volcano 402'!$A$2:$A$403,A60)&gt;0,"Yes","No")</x:f>
        <x:v>No</x:v>
      </x:c>
      <x:c r="F60" s="19" t="str">
        <x:f>IF(COUNTIF('Heatmap 169'!$A$2:$A$170,A60)&gt;0,"Yes","No")</x:f>
        <x:v>No</x:v>
      </x:c>
      <x:c r="G60" s="10" t="str">
        <x:f>IF(AND(E60="Yes",F60="Yes"),"In all three",IF(E60="Yes","Also in Figure S61",IF(F60="Yes","Also in heatmap","Colleague only")))</x:f>
        <x:v>Colleague only</x:v>
      </x:c>
    </x:row>
    <x:row r="61">
      <x:c r="A61" s="10" t="str">
        <x:v>LOC126354211</x:v>
      </x:c>
      <x:c r="B61" s="10" t="str">
        <x:v>CLIP domain-containing serine protease HP8-like</x:v>
      </x:c>
      <x:c r="C61" s="10" t="str">
        <x:v>Innate Immune Recognition &amp; Signaling</x:v>
      </x:c>
      <x:c r="D61" s="10" t="str">
        <x:v>Serine Protease Cascades</x:v>
      </x:c>
      <x:c r="E61" s="19" t="str">
        <x:f>IF(COUNTIF('Volcano 402'!$A$2:$A$403,A61)&gt;0,"Yes","No")</x:f>
        <x:v>No</x:v>
      </x:c>
      <x:c r="F61" s="19" t="str">
        <x:f>IF(COUNTIF('Heatmap 169'!$A$2:$A$170,A61)&gt;0,"Yes","No")</x:f>
        <x:v>No</x:v>
      </x:c>
      <x:c r="G61" s="10" t="str">
        <x:f>IF(AND(E61="Yes",F61="Yes"),"In all three",IF(E61="Yes","Also in Figure S62",IF(F61="Yes","Also in heatmap","Colleague only")))</x:f>
        <x:v>Colleague only</x:v>
      </x:c>
    </x:row>
    <x:row r="62">
      <x:c r="A62" s="10" t="str">
        <x:v>LOC126284334</x:v>
      </x:c>
      <x:c r="B62" s="10" t="str">
        <x:v>serine protease inhibitor I/II-like</x:v>
      </x:c>
      <x:c r="C62" s="10" t="str">
        <x:v>Innate Immune Recognition &amp; Signaling</x:v>
      </x:c>
      <x:c r="D62" s="10" t="str">
        <x:v>Serine Protease Inhibitors (Serpins)</x:v>
      </x:c>
      <x:c r="E62" s="19" t="str">
        <x:f>IF(COUNTIF('Volcano 402'!$A$2:$A$403,A62)&gt;0,"Yes","No")</x:f>
        <x:v>No</x:v>
      </x:c>
      <x:c r="F62" s="19" t="str">
        <x:f>IF(COUNTIF('Heatmap 169'!$A$2:$A$170,A62)&gt;0,"Yes","No")</x:f>
        <x:v>No</x:v>
      </x:c>
      <x:c r="G62" s="10" t="str">
        <x:f>IF(AND(E62="Yes",F62="Yes"),"In all three",IF(E62="Yes","Also in Figure S63",IF(F62="Yes","Also in heatmap","Colleague only")))</x:f>
        <x:v>Colleague only</x:v>
      </x:c>
    </x:row>
    <x:row r="63">
      <x:c r="A63" s="10" t="str">
        <x:v>LOC126284336</x:v>
      </x:c>
      <x:c r="B63" s="10" t="str">
        <x:v>serine protease inhibitor I/II-like</x:v>
      </x:c>
      <x:c r="C63" s="10" t="str">
        <x:v>Innate Immune Recognition &amp; Signaling</x:v>
      </x:c>
      <x:c r="D63" s="10" t="str">
        <x:v>Serine Protease Inhibitors (Serpins)</x:v>
      </x:c>
      <x:c r="E63" s="19" t="str">
        <x:f>IF(COUNTIF('Volcano 402'!$A$2:$A$403,A63)&gt;0,"Yes","No")</x:f>
        <x:v>No</x:v>
      </x:c>
      <x:c r="F63" s="19" t="str">
        <x:f>IF(COUNTIF('Heatmap 169'!$A$2:$A$170,A63)&gt;0,"Yes","No")</x:f>
        <x:v>No</x:v>
      </x:c>
      <x:c r="G63" s="10" t="str">
        <x:f>IF(AND(E63="Yes",F63="Yes"),"In all three",IF(E63="Yes","Also in Figure S64",IF(F63="Yes","Also in heatmap","Colleague only")))</x:f>
        <x:v>Colleague only</x:v>
      </x:c>
    </x:row>
    <x:row r="64">
      <x:c r="A64" s="10" t="str">
        <x:v>LOC126284367</x:v>
      </x:c>
      <x:c r="B64" s="10" t="str">
        <x:v>protease inhibitors-like</x:v>
      </x:c>
      <x:c r="C64" s="10" t="str">
        <x:v>Innate Immune Recognition &amp; Signaling</x:v>
      </x:c>
      <x:c r="D64" s="10" t="str">
        <x:v>Serine Protease Inhibitors (Serpins)</x:v>
      </x:c>
      <x:c r="E64" s="19" t="str">
        <x:f>IF(COUNTIF('Volcano 402'!$A$2:$A$403,A64)&gt;0,"Yes","No")</x:f>
        <x:v>No</x:v>
      </x:c>
      <x:c r="F64" s="19" t="str">
        <x:f>IF(COUNTIF('Heatmap 169'!$A$2:$A$170,A64)&gt;0,"Yes","No")</x:f>
        <x:v>No</x:v>
      </x:c>
      <x:c r="G64" s="10" t="str">
        <x:f>IF(AND(E64="Yes",F64="Yes"),"In all three",IF(E64="Yes","Also in Figure S65",IF(F64="Yes","Also in heatmap","Colleague only")))</x:f>
        <x:v>Colleague only</x:v>
      </x:c>
    </x:row>
    <x:row r="65">
      <x:c r="A65" s="10" t="str">
        <x:v>LOC126284604</x:v>
      </x:c>
      <x:c r="B65" s="10" t="str">
        <x:v>serine protease inhibitor I/II-like</x:v>
      </x:c>
      <x:c r="C65" s="10" t="str">
        <x:v>Innate Immune Recognition &amp; Signaling</x:v>
      </x:c>
      <x:c r="D65" s="10" t="str">
        <x:v>Serine Protease Inhibitors (Serpins)</x:v>
      </x:c>
      <x:c r="E65" s="19" t="str">
        <x:f>IF(COUNTIF('Volcano 402'!$A$2:$A$403,A65)&gt;0,"Yes","No")</x:f>
        <x:v>No</x:v>
      </x:c>
      <x:c r="F65" s="19" t="str">
        <x:f>IF(COUNTIF('Heatmap 169'!$A$2:$A$170,A65)&gt;0,"Yes","No")</x:f>
        <x:v>No</x:v>
      </x:c>
      <x:c r="G65" s="10" t="str">
        <x:f>IF(AND(E65="Yes",F65="Yes"),"In all three",IF(E65="Yes","Also in Figure S66",IF(F65="Yes","Also in heatmap","Colleague only")))</x:f>
        <x:v>Colleague only</x:v>
      </x:c>
    </x:row>
    <x:row r="66">
      <x:c r="A66" s="10" t="str">
        <x:v>LOC126284765</x:v>
      </x:c>
      <x:c r="B66" s="10" t="str">
        <x:v>serine protease inhibitor I/II-like</x:v>
      </x:c>
      <x:c r="C66" s="10" t="str">
        <x:v>Innate Immune Recognition &amp; Signaling</x:v>
      </x:c>
      <x:c r="D66" s="10" t="str">
        <x:v>Serine Protease Inhibitors (Serpins)</x:v>
      </x:c>
      <x:c r="E66" s="19" t="str">
        <x:f>IF(COUNTIF('Volcano 402'!$A$2:$A$403,A66)&gt;0,"Yes","No")</x:f>
        <x:v>No</x:v>
      </x:c>
      <x:c r="F66" s="19" t="str">
        <x:f>IF(COUNTIF('Heatmap 169'!$A$2:$A$170,A66)&gt;0,"Yes","No")</x:f>
        <x:v>No</x:v>
      </x:c>
      <x:c r="G66" s="10" t="str">
        <x:f>IF(AND(E66="Yes",F66="Yes"),"In all three",IF(E66="Yes","Also in Figure S67",IF(F66="Yes","Also in heatmap","Colleague only")))</x:f>
        <x:v>Colleague only</x:v>
      </x:c>
    </x:row>
    <x:row r="67">
      <x:c r="A67" s="10" t="str">
        <x:v>LOC126284840</x:v>
      </x:c>
      <x:c r="B67" s="10" t="str">
        <x:v>serine protease inhibitor I/II-like</x:v>
      </x:c>
      <x:c r="C67" s="10" t="str">
        <x:v>Innate Immune Recognition &amp; Signaling</x:v>
      </x:c>
      <x:c r="D67" s="10" t="str">
        <x:v>Serine Protease Inhibitors (Serpins)</x:v>
      </x:c>
      <x:c r="E67" s="19" t="str">
        <x:f>IF(COUNTIF('Volcano 402'!$A$2:$A$403,A67)&gt;0,"Yes","No")</x:f>
        <x:v>No</x:v>
      </x:c>
      <x:c r="F67" s="19" t="str">
        <x:f>IF(COUNTIF('Heatmap 169'!$A$2:$A$170,A67)&gt;0,"Yes","No")</x:f>
        <x:v>No</x:v>
      </x:c>
      <x:c r="G67" s="10" t="str">
        <x:f>IF(AND(E67="Yes",F67="Yes"),"In all three",IF(E67="Yes","Also in Figure S68",IF(F67="Yes","Also in heatmap","Colleague only")))</x:f>
        <x:v>Colleague only</x:v>
      </x:c>
    </x:row>
    <x:row r="68">
      <x:c r="A68" s="10" t="str">
        <x:v>LOC126299287</x:v>
      </x:c>
      <x:c r="B68" s="10" t="str">
        <x:v>leukocyte elastase inhibitor-like</x:v>
      </x:c>
      <x:c r="C68" s="10" t="str">
        <x:v>Innate Immune Recognition &amp; Signaling</x:v>
      </x:c>
      <x:c r="D68" s="10" t="str">
        <x:v>Serine Protease Inhibitors (Serpins)</x:v>
      </x:c>
      <x:c r="E68" s="19" t="str">
        <x:f>IF(COUNTIF('Volcano 402'!$A$2:$A$403,A68)&gt;0,"Yes","No")</x:f>
        <x:v>Yes</x:v>
      </x:c>
      <x:c r="F68" s="19" t="str">
        <x:f>IF(COUNTIF('Heatmap 169'!$A$2:$A$170,A68)&gt;0,"Yes","No")</x:f>
        <x:v>No</x:v>
      </x:c>
      <x:c r="G68" s="10" t="str">
        <x:f>IF(AND(E68="Yes",F68="Yes"),"In all three",IF(E68="Yes","Also in Figure S69",IF(F68="Yes","Also in heatmap","Colleague only")))</x:f>
        <x:v>Also in Figure S69</x:v>
      </x:c>
    </x:row>
    <x:row r="69">
      <x:c r="A69" s="10" t="str">
        <x:v>LOC126335167</x:v>
      </x:c>
      <x:c r="B69" s="10" t="str">
        <x:v>serine protease inhibitor 88Ea-like</x:v>
      </x:c>
      <x:c r="C69" s="10" t="str">
        <x:v>Innate Immune Recognition &amp; Signaling</x:v>
      </x:c>
      <x:c r="D69" s="10" t="str">
        <x:v>Serine Protease Inhibitors (Serpins)</x:v>
      </x:c>
      <x:c r="E69" s="19" t="str">
        <x:f>IF(COUNTIF('Volcano 402'!$A$2:$A$403,A69)&gt;0,"Yes","No")</x:f>
        <x:v>Yes</x:v>
      </x:c>
      <x:c r="F69" s="19" t="str">
        <x:f>IF(COUNTIF('Heatmap 169'!$A$2:$A$170,A69)&gt;0,"Yes","No")</x:f>
        <x:v>Yes</x:v>
      </x:c>
      <x:c r="G69" s="10" t="str">
        <x:f>IF(AND(E69="Yes",F69="Yes"),"In all three",IF(E69="Yes","Also in Figure S70",IF(F69="Yes","Also in heatmap","Colleague only")))</x:f>
        <x:v>In all three</x:v>
      </x:c>
    </x:row>
    <x:row r="70">
      <x:c r="A70" s="10" t="str">
        <x:v>LOC126335404</x:v>
      </x:c>
      <x:c r="B70" s="10" t="str">
        <x:v>serpin B6-like</x:v>
      </x:c>
      <x:c r="C70" s="10" t="str">
        <x:v>Innate Immune Recognition &amp; Signaling</x:v>
      </x:c>
      <x:c r="D70" s="10" t="str">
        <x:v>Serine Protease Inhibitors (Serpins)</x:v>
      </x:c>
      <x:c r="E70" s="19" t="str">
        <x:f>IF(COUNTIF('Volcano 402'!$A$2:$A$403,A70)&gt;0,"Yes","No")</x:f>
        <x:v>Yes</x:v>
      </x:c>
      <x:c r="F70" s="19" t="str">
        <x:f>IF(COUNTIF('Heatmap 169'!$A$2:$A$170,A70)&gt;0,"Yes","No")</x:f>
        <x:v>No</x:v>
      </x:c>
      <x:c r="G70" s="10" t="str">
        <x:f>IF(AND(E70="Yes",F70="Yes"),"In all three",IF(E70="Yes","Also in Figure S71",IF(F70="Yes","Also in heatmap","Colleague only")))</x:f>
        <x:v>Also in Figure S71</x:v>
      </x:c>
    </x:row>
    <x:row r="71">
      <x:c r="A71" s="10" t="str">
        <x:v>LOC126335463</x:v>
      </x:c>
      <x:c r="B71" s="10" t="str">
        <x:v>serpin B8-like</x:v>
      </x:c>
      <x:c r="C71" s="10" t="str">
        <x:v>Innate Immune Recognition &amp; Signaling</x:v>
      </x:c>
      <x:c r="D71" s="10" t="str">
        <x:v>Serine Protease Inhibitors (Serpins)</x:v>
      </x:c>
      <x:c r="E71" s="19" t="str">
        <x:f>IF(COUNTIF('Volcano 402'!$A$2:$A$403,A71)&gt;0,"Yes","No")</x:f>
        <x:v>Yes</x:v>
      </x:c>
      <x:c r="F71" s="19" t="str">
        <x:f>IF(COUNTIF('Heatmap 169'!$A$2:$A$170,A71)&gt;0,"Yes","No")</x:f>
        <x:v>Yes</x:v>
      </x:c>
      <x:c r="G71" s="10" t="str">
        <x:f>IF(AND(E71="Yes",F71="Yes"),"In all three",IF(E71="Yes","Also in Figure S72",IF(F71="Yes","Also in heatmap","Colleague only")))</x:f>
        <x:v>In all three</x:v>
      </x:c>
    </x:row>
    <x:row r="72">
      <x:c r="A72" s="10" t="str">
        <x:v>LOC126335465</x:v>
      </x:c>
      <x:c r="B72" s="10" t="str">
        <x:v>serpin B6-like</x:v>
      </x:c>
      <x:c r="C72" s="10" t="str">
        <x:v>Innate Immune Recognition &amp; Signaling</x:v>
      </x:c>
      <x:c r="D72" s="10" t="str">
        <x:v>Serine Protease Inhibitors (Serpins)</x:v>
      </x:c>
      <x:c r="E72" s="19" t="str">
        <x:f>IF(COUNTIF('Volcano 402'!$A$2:$A$403,A72)&gt;0,"Yes","No")</x:f>
        <x:v>Yes</x:v>
      </x:c>
      <x:c r="F72" s="19" t="str">
        <x:f>IF(COUNTIF('Heatmap 169'!$A$2:$A$170,A72)&gt;0,"Yes","No")</x:f>
        <x:v>No</x:v>
      </x:c>
      <x:c r="G72" s="10" t="str">
        <x:f>IF(AND(E72="Yes",F72="Yes"),"In all three",IF(E72="Yes","Also in Figure S73",IF(F72="Yes","Also in heatmap","Colleague only")))</x:f>
        <x:v>Also in Figure S73</x:v>
      </x:c>
    </x:row>
    <x:row r="73">
      <x:c r="A73" s="10" t="str">
        <x:v>LOC126335467</x:v>
      </x:c>
      <x:c r="B73" s="10" t="str">
        <x:v>leukocyte elastase inhibitor-like</x:v>
      </x:c>
      <x:c r="C73" s="10" t="str">
        <x:v>Innate Immune Recognition &amp; Signaling</x:v>
      </x:c>
      <x:c r="D73" s="10" t="str">
        <x:v>Serine Protease Inhibitors (Serpins)</x:v>
      </x:c>
      <x:c r="E73" s="19" t="str">
        <x:f>IF(COUNTIF('Volcano 402'!$A$2:$A$403,A73)&gt;0,"Yes","No")</x:f>
        <x:v>Yes</x:v>
      </x:c>
      <x:c r="F73" s="19" t="str">
        <x:f>IF(COUNTIF('Heatmap 169'!$A$2:$A$170,A73)&gt;0,"Yes","No")</x:f>
        <x:v>No</x:v>
      </x:c>
      <x:c r="G73" s="10" t="str">
        <x:f>IF(AND(E73="Yes",F73="Yes"),"In all three",IF(E73="Yes","Also in Figure S74",IF(F73="Yes","Also in heatmap","Colleague only")))</x:f>
        <x:v>Also in Figure S74</x:v>
      </x:c>
    </x:row>
    <x:row r="74">
      <x:c r="A74" s="10" t="str">
        <x:v>LOC126335468</x:v>
      </x:c>
      <x:c r="B74" s="10" t="str">
        <x:v>serpin B6-like</x:v>
      </x:c>
      <x:c r="C74" s="10" t="str">
        <x:v>Innate Immune Recognition &amp; Signaling</x:v>
      </x:c>
      <x:c r="D74" s="10" t="str">
        <x:v>Serine Protease Inhibitors (Serpins)</x:v>
      </x:c>
      <x:c r="E74" s="19" t="str">
        <x:f>IF(COUNTIF('Volcano 402'!$A$2:$A$403,A74)&gt;0,"Yes","No")</x:f>
        <x:v>Yes</x:v>
      </x:c>
      <x:c r="F74" s="19" t="str">
        <x:f>IF(COUNTIF('Heatmap 169'!$A$2:$A$170,A74)&gt;0,"Yes","No")</x:f>
        <x:v>Yes</x:v>
      </x:c>
      <x:c r="G74" s="10" t="str">
        <x:f>IF(AND(E74="Yes",F74="Yes"),"In all three",IF(E74="Yes","Also in Figure S75",IF(F74="Yes","Also in heatmap","Colleague only")))</x:f>
        <x:v>In all three</x:v>
      </x:c>
    </x:row>
    <x:row r="75">
      <x:c r="A75" s="10" t="str">
        <x:v>LOC126335470</x:v>
      </x:c>
      <x:c r="B75" s="10" t="str">
        <x:v>leukocyte elastase inhibitor-like</x:v>
      </x:c>
      <x:c r="C75" s="10" t="str">
        <x:v>Innate Immune Recognition &amp; Signaling</x:v>
      </x:c>
      <x:c r="D75" s="10" t="str">
        <x:v>Serine Protease Inhibitors (Serpins)</x:v>
      </x:c>
      <x:c r="E75" s="19" t="str">
        <x:f>IF(COUNTIF('Volcano 402'!$A$2:$A$403,A75)&gt;0,"Yes","No")</x:f>
        <x:v>Yes</x:v>
      </x:c>
      <x:c r="F75" s="19" t="str">
        <x:f>IF(COUNTIF('Heatmap 169'!$A$2:$A$170,A75)&gt;0,"Yes","No")</x:f>
        <x:v>No</x:v>
      </x:c>
      <x:c r="G75" s="10" t="str">
        <x:f>IF(AND(E75="Yes",F75="Yes"),"In all three",IF(E75="Yes","Also in Figure S76",IF(F75="Yes","Also in heatmap","Colleague only")))</x:f>
        <x:v>Also in Figure S76</x:v>
      </x:c>
    </x:row>
    <x:row r="76">
      <x:c r="A76" s="10" t="str">
        <x:v>LOC126335471</x:v>
      </x:c>
      <x:c r="B76" s="10" t="str">
        <x:v>serpin B6-like</x:v>
      </x:c>
      <x:c r="C76" s="10" t="str">
        <x:v>Innate Immune Recognition &amp; Signaling</x:v>
      </x:c>
      <x:c r="D76" s="10" t="str">
        <x:v>Serine Protease Inhibitors (Serpins)</x:v>
      </x:c>
      <x:c r="E76" s="19" t="str">
        <x:f>IF(COUNTIF('Volcano 402'!$A$2:$A$403,A76)&gt;0,"Yes","No")</x:f>
        <x:v>Yes</x:v>
      </x:c>
      <x:c r="F76" s="19" t="str">
        <x:f>IF(COUNTIF('Heatmap 169'!$A$2:$A$170,A76)&gt;0,"Yes","No")</x:f>
        <x:v>No</x:v>
      </x:c>
      <x:c r="G76" s="10" t="str">
        <x:f>IF(AND(E76="Yes",F76="Yes"),"In all three",IF(E76="Yes","Also in Figure S77",IF(F76="Yes","Also in heatmap","Colleague only")))</x:f>
        <x:v>Also in Figure S77</x:v>
      </x:c>
    </x:row>
    <x:row r="77">
      <x:c r="A77" s="10" t="str">
        <x:v>LOC126335472</x:v>
      </x:c>
      <x:c r="B77" s="10" t="str">
        <x:v>serpin B4-like</x:v>
      </x:c>
      <x:c r="C77" s="10" t="str">
        <x:v>Innate Immune Recognition &amp; Signaling</x:v>
      </x:c>
      <x:c r="D77" s="10" t="str">
        <x:v>Serine Protease Inhibitors (Serpins)</x:v>
      </x:c>
      <x:c r="E77" s="19" t="str">
        <x:f>IF(COUNTIF('Volcano 402'!$A$2:$A$403,A77)&gt;0,"Yes","No")</x:f>
        <x:v>Yes</x:v>
      </x:c>
      <x:c r="F77" s="19" t="str">
        <x:f>IF(COUNTIF('Heatmap 169'!$A$2:$A$170,A77)&gt;0,"Yes","No")</x:f>
        <x:v>No</x:v>
      </x:c>
      <x:c r="G77" s="10" t="str">
        <x:f>IF(AND(E77="Yes",F77="Yes"),"In all three",IF(E77="Yes","Also in Figure S78",IF(F77="Yes","Also in heatmap","Colleague only")))</x:f>
        <x:v>Also in Figure S78</x:v>
      </x:c>
    </x:row>
    <x:row r="78">
      <x:c r="A78" s="10" t="str">
        <x:v>LOC126335544</x:v>
      </x:c>
      <x:c r="B78" s="10" t="str">
        <x:v>leukocyte elastase inhibitor-like</x:v>
      </x:c>
      <x:c r="C78" s="10" t="str">
        <x:v>Innate Immune Recognition &amp; Signaling</x:v>
      </x:c>
      <x:c r="D78" s="10" t="str">
        <x:v>Serine Protease Inhibitors (Serpins)</x:v>
      </x:c>
      <x:c r="E78" s="19" t="str">
        <x:f>IF(COUNTIF('Volcano 402'!$A$2:$A$403,A78)&gt;0,"Yes","No")</x:f>
        <x:v>Yes</x:v>
      </x:c>
      <x:c r="F78" s="19" t="str">
        <x:f>IF(COUNTIF('Heatmap 169'!$A$2:$A$170,A78)&gt;0,"Yes","No")</x:f>
        <x:v>No</x:v>
      </x:c>
      <x:c r="G78" s="10" t="str">
        <x:f>IF(AND(E78="Yes",F78="Yes"),"In all three",IF(E78="Yes","Also in Figure S79",IF(F78="Yes","Also in heatmap","Colleague only")))</x:f>
        <x:v>Also in Figure S79</x:v>
      </x:c>
    </x:row>
    <x:row r="79">
      <x:c r="A79" s="10" t="str">
        <x:v>LOC126335545</x:v>
      </x:c>
      <x:c r="B79" s="10" t="str">
        <x:v>leukocyte elastase inhibitor-like</x:v>
      </x:c>
      <x:c r="C79" s="10" t="str">
        <x:v>Innate Immune Recognition &amp; Signaling</x:v>
      </x:c>
      <x:c r="D79" s="10" t="str">
        <x:v>Serine Protease Inhibitors (Serpins)</x:v>
      </x:c>
      <x:c r="E79" s="19" t="str">
        <x:f>IF(COUNTIF('Volcano 402'!$A$2:$A$403,A79)&gt;0,"Yes","No")</x:f>
        <x:v>Yes</x:v>
      </x:c>
      <x:c r="F79" s="19" t="str">
        <x:f>IF(COUNTIF('Heatmap 169'!$A$2:$A$170,A79)&gt;0,"Yes","No")</x:f>
        <x:v>No</x:v>
      </x:c>
      <x:c r="G79" s="10" t="str">
        <x:f>IF(AND(E79="Yes",F79="Yes"),"In all three",IF(E79="Yes","Also in Figure S80",IF(F79="Yes","Also in heatmap","Colleague only")))</x:f>
        <x:v>Also in Figure S80</x:v>
      </x:c>
    </x:row>
    <x:row r="80">
      <x:c r="A80" s="10" t="str">
        <x:v>LOC126335546</x:v>
      </x:c>
      <x:c r="B80" s="10" t="str">
        <x:v>leukocyte elastase inhibitor-like</x:v>
      </x:c>
      <x:c r="C80" s="10" t="str">
        <x:v>Innate Immune Recognition &amp; Signaling</x:v>
      </x:c>
      <x:c r="D80" s="10" t="str">
        <x:v>Serine Protease Inhibitors (Serpins)</x:v>
      </x:c>
      <x:c r="E80" s="19" t="str">
        <x:f>IF(COUNTIF('Volcano 402'!$A$2:$A$403,A80)&gt;0,"Yes","No")</x:f>
        <x:v>Yes</x:v>
      </x:c>
      <x:c r="F80" s="19" t="str">
        <x:f>IF(COUNTIF('Heatmap 169'!$A$2:$A$170,A80)&gt;0,"Yes","No")</x:f>
        <x:v>No</x:v>
      </x:c>
      <x:c r="G80" s="10" t="str">
        <x:f>IF(AND(E80="Yes",F80="Yes"),"In all three",IF(E80="Yes","Also in Figure S81",IF(F80="Yes","Also in heatmap","Colleague only")))</x:f>
        <x:v>Also in Figure S81</x:v>
      </x:c>
    </x:row>
    <x:row r="81">
      <x:c r="A81" s="10" t="str">
        <x:v>LOC126335547</x:v>
      </x:c>
      <x:c r="B81" s="10" t="str">
        <x:v>serpin B6-like</x:v>
      </x:c>
      <x:c r="C81" s="10" t="str">
        <x:v>Innate Immune Recognition &amp; Signaling</x:v>
      </x:c>
      <x:c r="D81" s="10" t="str">
        <x:v>Serine Protease Inhibitors (Serpins)</x:v>
      </x:c>
      <x:c r="E81" s="19" t="str">
        <x:f>IF(COUNTIF('Volcano 402'!$A$2:$A$403,A81)&gt;0,"Yes","No")</x:f>
        <x:v>Yes</x:v>
      </x:c>
      <x:c r="F81" s="19" t="str">
        <x:f>IF(COUNTIF('Heatmap 169'!$A$2:$A$170,A81)&gt;0,"Yes","No")</x:f>
        <x:v>No</x:v>
      </x:c>
      <x:c r="G81" s="10" t="str">
        <x:f>IF(AND(E81="Yes",F81="Yes"),"In all three",IF(E81="Yes","Also in Figure S82",IF(F81="Yes","Also in heatmap","Colleague only")))</x:f>
        <x:v>Also in Figure S82</x:v>
      </x:c>
    </x:row>
    <x:row r="82">
      <x:c r="A82" s="10" t="str">
        <x:v>LOC126336076</x:v>
      </x:c>
      <x:c r="B82" s="10" t="str">
        <x:v>serpin B8-like</x:v>
      </x:c>
      <x:c r="C82" s="10" t="str">
        <x:v>Innate Immune Recognition &amp; Signaling</x:v>
      </x:c>
      <x:c r="D82" s="10" t="str">
        <x:v>Serine Protease Inhibitors (Serpins)</x:v>
      </x:c>
      <x:c r="E82" s="19" t="str">
        <x:f>IF(COUNTIF('Volcano 402'!$A$2:$A$403,A82)&gt;0,"Yes","No")</x:f>
        <x:v>Yes</x:v>
      </x:c>
      <x:c r="F82" s="19" t="str">
        <x:f>IF(COUNTIF('Heatmap 169'!$A$2:$A$170,A82)&gt;0,"Yes","No")</x:f>
        <x:v>No</x:v>
      </x:c>
      <x:c r="G82" s="10" t="str">
        <x:f>IF(AND(E82="Yes",F82="Yes"),"In all three",IF(E82="Yes","Also in Figure S83",IF(F82="Yes","Also in heatmap","Colleague only")))</x:f>
        <x:v>Also in Figure S83</x:v>
      </x:c>
    </x:row>
    <x:row r="83">
      <x:c r="A83" s="10" t="str">
        <x:v>LOC126268518</x:v>
      </x:c>
      <x:c r="B83" s="10" t="str">
        <x:v>glutamine synthetase 2 cytoplasmic-like</x:v>
      </x:c>
      <x:c r="C83" s="10" t="str">
        <x:v>Nitrogen, Amino Acid Transport &amp; Metabolism</x:v>
      </x:c>
      <x:c r="D83" s="10" t="str">
        <x:v>Amino Acid Biosynthesis &amp; Interconversion</x:v>
      </x:c>
      <x:c r="E83" s="19" t="str">
        <x:f>IF(COUNTIF('Volcano 402'!$A$2:$A$403,A83)&gt;0,"Yes","No")</x:f>
        <x:v>No</x:v>
      </x:c>
      <x:c r="F83" s="19" t="str">
        <x:f>IF(COUNTIF('Heatmap 169'!$A$2:$A$170,A83)&gt;0,"Yes","No")</x:f>
        <x:v>No</x:v>
      </x:c>
      <x:c r="G83" s="10" t="str">
        <x:f>IF(AND(E83="Yes",F83="Yes"),"In all three",IF(E83="Yes","Also in Figure S84",IF(F83="Yes","Also in heatmap","Colleague only")))</x:f>
        <x:v>Colleague only</x:v>
      </x:c>
    </x:row>
    <x:row r="84">
      <x:c r="A84" s="10" t="str">
        <x:v>LOC126293368</x:v>
      </x:c>
      <x:c r="B84" s="10" t="str">
        <x:v>phosphoserine aminotransferase</x:v>
      </x:c>
      <x:c r="C84" s="10" t="str">
        <x:v>Nitrogen, Amino Acid Transport &amp; Metabolism</x:v>
      </x:c>
      <x:c r="D84" s="10" t="str">
        <x:v>Amino Acid Transaminases &amp; Biosynthesis</x:v>
      </x:c>
      <x:c r="E84" s="19" t="str">
        <x:f>IF(COUNTIF('Volcano 402'!$A$2:$A$403,A84)&gt;0,"Yes","No")</x:f>
        <x:v>No</x:v>
      </x:c>
      <x:c r="F84" s="19" t="str">
        <x:f>IF(COUNTIF('Heatmap 169'!$A$2:$A$170,A84)&gt;0,"Yes","No")</x:f>
        <x:v>No</x:v>
      </x:c>
      <x:c r="G84" s="10" t="str">
        <x:f>IF(AND(E84="Yes",F84="Yes"),"In all three",IF(E84="Yes","Also in Figure S85",IF(F84="Yes","Also in heatmap","Colleague only")))</x:f>
        <x:v>Colleague only</x:v>
      </x:c>
    </x:row>
    <x:row r="85">
      <x:c r="A85" s="10" t="str">
        <x:v>LOC126352958</x:v>
      </x:c>
      <x:c r="B85" s="10" t="str">
        <x:v>ornithine aminotransferase, mitochondrial</x:v>
      </x:c>
      <x:c r="C85" s="10" t="str">
        <x:v>Nitrogen, Amino Acid Transport &amp; Metabolism</x:v>
      </x:c>
      <x:c r="D85" s="10" t="str">
        <x:v>Amino Acid Transaminases &amp; Biosynthesis</x:v>
      </x:c>
      <x:c r="E85" s="19" t="str">
        <x:f>IF(COUNTIF('Volcano 402'!$A$2:$A$403,A85)&gt;0,"Yes","No")</x:f>
        <x:v>No</x:v>
      </x:c>
      <x:c r="F85" s="19" t="str">
        <x:f>IF(COUNTIF('Heatmap 169'!$A$2:$A$170,A85)&gt;0,"Yes","No")</x:f>
        <x:v>No</x:v>
      </x:c>
      <x:c r="G85" s="10" t="str">
        <x:f>IF(AND(E85="Yes",F85="Yes"),"In all three",IF(E85="Yes","Also in Figure S86",IF(F85="Yes","Also in heatmap","Colleague only")))</x:f>
        <x:v>Colleague only</x:v>
      </x:c>
    </x:row>
    <x:row r="86">
      <x:c r="A86" s="10" t="str">
        <x:v>LOC126295311</x:v>
      </x:c>
      <x:c r="B86" s="10" t="str">
        <x:v>probable cationic amino acid transporter</x:v>
      </x:c>
      <x:c r="C86" s="10" t="str">
        <x:v>Nitrogen, Amino Acid Transport &amp; Metabolism</x:v>
      </x:c>
      <x:c r="D86" s="10" t="str">
        <x:v>Cationic &amp; Neutral Amino Acid Transporters</x:v>
      </x:c>
      <x:c r="E86" s="19" t="str">
        <x:f>IF(COUNTIF('Volcano 402'!$A$2:$A$403,A86)&gt;0,"Yes","No")</x:f>
        <x:v>No</x:v>
      </x:c>
      <x:c r="F86" s="19" t="str">
        <x:f>IF(COUNTIF('Heatmap 169'!$A$2:$A$170,A86)&gt;0,"Yes","No")</x:f>
        <x:v>No</x:v>
      </x:c>
      <x:c r="G86" s="10" t="str">
        <x:f>IF(AND(E86="Yes",F86="Yes"),"In all three",IF(E86="Yes","Also in Figure S87",IF(F86="Yes","Also in heatmap","Colleague only")))</x:f>
        <x:v>Colleague only</x:v>
      </x:c>
    </x:row>
    <x:row r="87">
      <x:c r="A87" s="10" t="str">
        <x:v>LOC126298679</x:v>
      </x:c>
      <x:c r="B87" s="10" t="str">
        <x:v>b(0,+)-type amino acid transporter 1</x:v>
      </x:c>
      <x:c r="C87" s="10" t="str">
        <x:v>Nitrogen, Amino Acid Transport &amp; Metabolism</x:v>
      </x:c>
      <x:c r="D87" s="10" t="str">
        <x:v>Cationic &amp; Neutral Amino Acid Transporters</x:v>
      </x:c>
      <x:c r="E87" s="19" t="str">
        <x:f>IF(COUNTIF('Volcano 402'!$A$2:$A$403,A87)&gt;0,"Yes","No")</x:f>
        <x:v>No</x:v>
      </x:c>
      <x:c r="F87" s="19" t="str">
        <x:f>IF(COUNTIF('Heatmap 169'!$A$2:$A$170,A87)&gt;0,"Yes","No")</x:f>
        <x:v>No</x:v>
      </x:c>
      <x:c r="G87" s="10" t="str">
        <x:f>IF(AND(E87="Yes",F87="Yes"),"In all three",IF(E87="Yes","Also in Figure S88",IF(F87="Yes","Also in heatmap","Colleague only")))</x:f>
        <x:v>Colleague only</x:v>
      </x:c>
    </x:row>
    <x:row r="88">
      <x:c r="A88" s="10" t="str">
        <x:v>LOC126353927</x:v>
      </x:c>
      <x:c r="B88" s="10" t="str">
        <x:v>cationic amino acid transporter 3</x:v>
      </x:c>
      <x:c r="C88" s="10" t="str">
        <x:v>Nitrogen, Amino Acid Transport &amp; Metabolism</x:v>
      </x:c>
      <x:c r="D88" s="10" t="str">
        <x:v>Cationic &amp; Neutral Amino Acid Transporters</x:v>
      </x:c>
      <x:c r="E88" s="19" t="str">
        <x:f>IF(COUNTIF('Volcano 402'!$A$2:$A$403,A88)&gt;0,"Yes","No")</x:f>
        <x:v>No</x:v>
      </x:c>
      <x:c r="F88" s="19" t="str">
        <x:f>IF(COUNTIF('Heatmap 169'!$A$2:$A$170,A88)&gt;0,"Yes","No")</x:f>
        <x:v>No</x:v>
      </x:c>
      <x:c r="G88" s="10" t="str">
        <x:f>IF(AND(E88="Yes",F88="Yes"),"In all three",IF(E88="Yes","Also in Figure S89",IF(F88="Yes","Also in heatmap","Colleague only")))</x:f>
        <x:v>Colleague only</x:v>
      </x:c>
    </x:row>
    <x:row r="89">
      <x:c r="A89" s="10" t="str">
        <x:v>LOC126353931</x:v>
      </x:c>
      <x:c r="B89" s="10" t="str">
        <x:v>high affinity cationic amino acid transporter 1-like</x:v>
      </x:c>
      <x:c r="C89" s="10" t="str">
        <x:v>Nitrogen, Amino Acid Transport &amp; Metabolism</x:v>
      </x:c>
      <x:c r="D89" s="10" t="str">
        <x:v>Cationic &amp; Neutral Amino Acid Transporters</x:v>
      </x:c>
      <x:c r="E89" s="19" t="str">
        <x:f>IF(COUNTIF('Volcano 402'!$A$2:$A$403,A89)&gt;0,"Yes","No")</x:f>
        <x:v>No</x:v>
      </x:c>
      <x:c r="F89" s="19" t="str">
        <x:f>IF(COUNTIF('Heatmap 169'!$A$2:$A$170,A89)&gt;0,"Yes","No")</x:f>
        <x:v>No</x:v>
      </x:c>
      <x:c r="G89" s="10" t="str">
        <x:f>IF(AND(E89="Yes",F89="Yes"),"In all three",IF(E89="Yes","Also in Figure S90",IF(F89="Yes","Also in heatmap","Colleague only")))</x:f>
        <x:v>Colleague only</x:v>
      </x:c>
    </x:row>
    <x:row r="90">
      <x:c r="A90" s="10" t="str">
        <x:v>LOC126354582</x:v>
      </x:c>
      <x:c r="B90" s="10" t="str">
        <x:v>cationic amino acid transporter 4</x:v>
      </x:c>
      <x:c r="C90" s="10" t="str">
        <x:v>Nitrogen, Amino Acid Transport &amp; Metabolism</x:v>
      </x:c>
      <x:c r="D90" s="10" t="str">
        <x:v>Cationic &amp; Neutral Amino Acid Transporters</x:v>
      </x:c>
      <x:c r="E90" s="19" t="str">
        <x:f>IF(COUNTIF('Volcano 402'!$A$2:$A$403,A90)&gt;0,"Yes","No")</x:f>
        <x:v>No</x:v>
      </x:c>
      <x:c r="F90" s="19" t="str">
        <x:f>IF(COUNTIF('Heatmap 169'!$A$2:$A$170,A90)&gt;0,"Yes","No")</x:f>
        <x:v>No</x:v>
      </x:c>
      <x:c r="G90" s="10" t="str">
        <x:f>IF(AND(E90="Yes",F90="Yes"),"In all three",IF(E90="Yes","Also in Figure S91",IF(F90="Yes","Also in heatmap","Colleague only")))</x:f>
        <x:v>Colleague only</x:v>
      </x:c>
    </x:row>
    <x:row r="91">
      <x:c r="A91" s="10" t="str">
        <x:v>LOC126266685</x:v>
      </x:c>
      <x:c r="B91" s="10" t="str">
        <x:v>proton-coupled amino acid transporter 1-like</x:v>
      </x:c>
      <x:c r="C91" s="10" t="str">
        <x:v>Nitrogen, Amino Acid Transport &amp; Metabolism</x:v>
      </x:c>
      <x:c r="D91" s="10" t="str">
        <x:v>Proton-Coupled &amp; Auxiliary Amino Acid Transporters</x:v>
      </x:c>
      <x:c r="E91" s="19" t="str">
        <x:f>IF(COUNTIF('Volcano 402'!$A$2:$A$403,A91)&gt;0,"Yes","No")</x:f>
        <x:v>No</x:v>
      </x:c>
      <x:c r="F91" s="19" t="str">
        <x:f>IF(COUNTIF('Heatmap 169'!$A$2:$A$170,A91)&gt;0,"Yes","No")</x:f>
        <x:v>No</x:v>
      </x:c>
      <x:c r="G91" s="10" t="str">
        <x:f>IF(AND(E91="Yes",F91="Yes"),"In all three",IF(E91="Yes","Also in Figure S92",IF(F91="Yes","Also in heatmap","Colleague only")))</x:f>
        <x:v>Colleague only</x:v>
      </x:c>
    </x:row>
    <x:row r="92">
      <x:c r="A92" s="10" t="str">
        <x:v>LOC126354751</x:v>
      </x:c>
      <x:c r="B92" s="10" t="str">
        <x:v>proton-coupled amino acid transporter-like protein CG1139</x:v>
      </x:c>
      <x:c r="C92" s="10" t="str">
        <x:v>Nitrogen, Amino Acid Transport &amp; Metabolism</x:v>
      </x:c>
      <x:c r="D92" s="10" t="str">
        <x:v>Proton-Coupled &amp; Auxiliary Amino Acid Transporters</x:v>
      </x:c>
      <x:c r="E92" s="19" t="str">
        <x:f>IF(COUNTIF('Volcano 402'!$A$2:$A$403,A92)&gt;0,"Yes","No")</x:f>
        <x:v>No</x:v>
      </x:c>
      <x:c r="F92" s="19" t="str">
        <x:f>IF(COUNTIF('Heatmap 169'!$A$2:$A$170,A92)&gt;0,"Yes","No")</x:f>
        <x:v>No</x:v>
      </x:c>
      <x:c r="G92" s="10" t="str">
        <x:f>IF(AND(E92="Yes",F92="Yes"),"In all three",IF(E92="Yes","Also in Figure S93",IF(F92="Yes","Also in heatmap","Colleague only")))</x:f>
        <x:v>Colleague only</x:v>
      </x:c>
    </x:row>
    <x:row r="93">
      <x:c r="A93" s="10" t="str">
        <x:v>LOC126354753</x:v>
      </x:c>
      <x:c r="B93" s="10" t="str">
        <x:v>proton-coupled amino acid transporter-like protein pathetic</x:v>
      </x:c>
      <x:c r="C93" s="10" t="str">
        <x:v>Nitrogen, Amino Acid Transport &amp; Metabolism</x:v>
      </x:c>
      <x:c r="D93" s="10" t="str">
        <x:v>Proton-Coupled &amp; Auxiliary Amino Acid Transporters</x:v>
      </x:c>
      <x:c r="E93" s="19" t="str">
        <x:f>IF(COUNTIF('Volcano 402'!$A$2:$A$403,A93)&gt;0,"Yes","No")</x:f>
        <x:v>No</x:v>
      </x:c>
      <x:c r="F93" s="19" t="str">
        <x:f>IF(COUNTIF('Heatmap 169'!$A$2:$A$170,A93)&gt;0,"Yes","No")</x:f>
        <x:v>No</x:v>
      </x:c>
      <x:c r="G93" s="10" t="str">
        <x:f>IF(AND(E93="Yes",F93="Yes"),"In all three",IF(E93="Yes","Also in Figure S94",IF(F93="Yes","Also in heatmap","Colleague only")))</x:f>
        <x:v>Colleague only</x:v>
      </x:c>
    </x:row>
    <x:row r="94">
      <x:c r="A94" s="10" t="str">
        <x:v>LOC126354788</x:v>
      </x:c>
      <x:c r="B94" s="10" t="str">
        <x:v>proton-coupled amino acid transporter-like protein pathetic</x:v>
      </x:c>
      <x:c r="C94" s="10" t="str">
        <x:v>Nitrogen, Amino Acid Transport &amp; Metabolism</x:v>
      </x:c>
      <x:c r="D94" s="10" t="str">
        <x:v>Proton-Coupled &amp; Auxiliary Amino Acid Transporters</x:v>
      </x:c>
      <x:c r="E94" s="19" t="str">
        <x:f>IF(COUNTIF('Volcano 402'!$A$2:$A$403,A94)&gt;0,"Yes","No")</x:f>
        <x:v>No</x:v>
      </x:c>
      <x:c r="F94" s="19" t="str">
        <x:f>IF(COUNTIF('Heatmap 169'!$A$2:$A$170,A94)&gt;0,"Yes","No")</x:f>
        <x:v>No</x:v>
      </x:c>
      <x:c r="G94" s="10" t="str">
        <x:f>IF(AND(E94="Yes",F94="Yes"),"In all three",IF(E94="Yes","Also in Figure S95",IF(F94="Yes","Also in heatmap","Colleague only")))</x:f>
        <x:v>Colleague only</x:v>
      </x:c>
    </x:row>
    <x:row r="95">
      <x:c r="A95" s="10" t="str">
        <x:v>LOC126355939</x:v>
      </x:c>
      <x:c r="B95" s="10" t="str">
        <x:v>proton-coupled amino acid transporter-like protein pathetic</x:v>
      </x:c>
      <x:c r="C95" s="10" t="str">
        <x:v>Nitrogen, Amino Acid Transport &amp; Metabolism</x:v>
      </x:c>
      <x:c r="D95" s="10" t="str">
        <x:v>Proton-Coupled &amp; Auxiliary Amino Acid Transporters</x:v>
      </x:c>
      <x:c r="E95" s="19" t="str">
        <x:f>IF(COUNTIF('Volcano 402'!$A$2:$A$403,A95)&gt;0,"Yes","No")</x:f>
        <x:v>No</x:v>
      </x:c>
      <x:c r="F95" s="19" t="str">
        <x:f>IF(COUNTIF('Heatmap 169'!$A$2:$A$170,A95)&gt;0,"Yes","No")</x:f>
        <x:v>Yes</x:v>
      </x:c>
      <x:c r="G95" s="10" t="str">
        <x:f>IF(AND(E95="Yes",F95="Yes"),"In all three",IF(E95="Yes","Also in Figure S96",IF(F95="Yes","Also in heatmap","Colleague only")))</x:f>
        <x:v>Also in heatmap</x:v>
      </x:c>
    </x:row>
    <x:row r="96">
      <x:c r="A96" s="10" t="str">
        <x:v>LOC126355940</x:v>
      </x:c>
      <x:c r="B96" s="10" t="str">
        <x:v>proton-coupled amino acid transporter-like protein CG1139</x:v>
      </x:c>
      <x:c r="C96" s="10" t="str">
        <x:v>Nitrogen, Amino Acid Transport &amp; Metabolism</x:v>
      </x:c>
      <x:c r="D96" s="10" t="str">
        <x:v>Proton-Coupled &amp; Auxiliary Amino Acid Transporters</x:v>
      </x:c>
      <x:c r="E96" s="19" t="str">
        <x:f>IF(COUNTIF('Volcano 402'!$A$2:$A$403,A96)&gt;0,"Yes","No")</x:f>
        <x:v>No</x:v>
      </x:c>
      <x:c r="F96" s="19" t="str">
        <x:f>IF(COUNTIF('Heatmap 169'!$A$2:$A$170,A96)&gt;0,"Yes","No")</x:f>
        <x:v>Yes</x:v>
      </x:c>
      <x:c r="G96" s="10" t="str">
        <x:f>IF(AND(E96="Yes",F96="Yes"),"In all three",IF(E96="Yes","Also in Figure S97",IF(F96="Yes","Also in heatmap","Colleague only")))</x:f>
        <x:v>Also in heatmap</x:v>
      </x:c>
    </x:row>
    <x:row r="97">
      <x:c r="A97" s="10" t="str">
        <x:v>LOC126365925</x:v>
      </x:c>
      <x:c r="B97" s="10" t="str">
        <x:v>proton-coupled amino acid transporter-like protein CG1139</x:v>
      </x:c>
      <x:c r="C97" s="10" t="str">
        <x:v>Nitrogen, Amino Acid Transport &amp; Metabolism</x:v>
      </x:c>
      <x:c r="D97" s="10" t="str">
        <x:v>Proton-Coupled &amp; Auxiliary Amino Acid Transporters</x:v>
      </x:c>
      <x:c r="E97" s="19" t="str">
        <x:f>IF(COUNTIF('Volcano 402'!$A$2:$A$403,A97)&gt;0,"Yes","No")</x:f>
        <x:v>No</x:v>
      </x:c>
      <x:c r="F97" s="19" t="str">
        <x:f>IF(COUNTIF('Heatmap 169'!$A$2:$A$170,A97)&gt;0,"Yes","No")</x:f>
        <x:v>No</x:v>
      </x:c>
      <x:c r="G97" s="10" t="str">
        <x:f>IF(AND(E97="Yes",F97="Yes"),"In all three",IF(E97="Yes","Also in Figure S98",IF(F97="Yes","Also in heatmap","Colleague only")))</x:f>
        <x:v>Colleague only</x:v>
      </x:c>
    </x:row>
    <x:row r="98">
      <x:c r="A98" s="10" t="str">
        <x:v>LOC126299466</x:v>
      </x:c>
      <x:c r="B98" s="10" t="str">
        <x:v>sodium-coupled neutral amino acid transporter 9-like</x:v>
      </x:c>
      <x:c r="C98" s="10" t="str">
        <x:v>Nitrogen, Amino Acid Transport &amp; Metabolism</x:v>
      </x:c>
      <x:c r="D98" s="10" t="str">
        <x:v>Sodium-Dependent Nutrient Transporters</x:v>
      </x:c>
      <x:c r="E98" s="19" t="str">
        <x:f>IF(COUNTIF('Volcano 402'!$A$2:$A$403,A98)&gt;0,"Yes","No")</x:f>
        <x:v>No</x:v>
      </x:c>
      <x:c r="F98" s="19" t="str">
        <x:f>IF(COUNTIF('Heatmap 169'!$A$2:$A$170,A98)&gt;0,"Yes","No")</x:f>
        <x:v>No</x:v>
      </x:c>
      <x:c r="G98" s="10" t="str">
        <x:f>IF(AND(E98="Yes",F98="Yes"),"In all three",IF(E98="Yes","Also in Figure S99",IF(F98="Yes","Also in heatmap","Colleague only")))</x:f>
        <x:v>Colleague only</x:v>
      </x:c>
    </x:row>
    <x:row r="99">
      <x:c r="A99" s="10" t="str">
        <x:v>LOC126334706</x:v>
      </x:c>
      <x:c r="B99" s="10" t="str">
        <x:v>sodium-dependent nutrient amino acid transporter 1-like</x:v>
      </x:c>
      <x:c r="C99" s="10" t="str">
        <x:v>Nitrogen, Amino Acid Transport &amp; Metabolism</x:v>
      </x:c>
      <x:c r="D99" s="10" t="str">
        <x:v>Sodium-Dependent Nutrient Transporters</x:v>
      </x:c>
      <x:c r="E99" s="19" t="str">
        <x:f>IF(COUNTIF('Volcano 402'!$A$2:$A$403,A99)&gt;0,"Yes","No")</x:f>
        <x:v>No</x:v>
      </x:c>
      <x:c r="F99" s="19" t="str">
        <x:f>IF(COUNTIF('Heatmap 169'!$A$2:$A$170,A99)&gt;0,"Yes","No")</x:f>
        <x:v>No</x:v>
      </x:c>
      <x:c r="G99" s="10" t="str">
        <x:f>IF(AND(E99="Yes",F99="Yes"),"In all three",IF(E99="Yes","Also in Figure S100",IF(F99="Yes","Also in heatmap","Colleague only")))</x:f>
        <x:v>Colleague only</x:v>
      </x:c>
    </x:row>
    <x:row r="100">
      <x:c r="A100" s="10" t="str">
        <x:v>LOC126334708</x:v>
      </x:c>
      <x:c r="B100" s="10" t="str">
        <x:v>sodium-dependent nutrient amino acid transporter 1-like</x:v>
      </x:c>
      <x:c r="C100" s="10" t="str">
        <x:v>Nitrogen, Amino Acid Transport &amp; Metabolism</x:v>
      </x:c>
      <x:c r="D100" s="10" t="str">
        <x:v>Sodium-Dependent Nutrient Transporters</x:v>
      </x:c>
      <x:c r="E100" s="19" t="str">
        <x:f>IF(COUNTIF('Volcano 402'!$A$2:$A$403,A100)&gt;0,"Yes","No")</x:f>
        <x:v>No</x:v>
      </x:c>
      <x:c r="F100" s="19" t="str">
        <x:f>IF(COUNTIF('Heatmap 169'!$A$2:$A$170,A100)&gt;0,"Yes","No")</x:f>
        <x:v>No</x:v>
      </x:c>
      <x:c r="G100" s="10" t="str">
        <x:f>IF(AND(E100="Yes",F100="Yes"),"In all three",IF(E100="Yes","Also in Figure S101",IF(F100="Yes","Also in heatmap","Colleague only")))</x:f>
        <x:v>Colleague only</x:v>
      </x:c>
    </x:row>
    <x:row r="101">
      <x:c r="A101" s="10" t="str">
        <x:v>LOC126354816</x:v>
      </x:c>
      <x:c r="B101" s="10" t="str">
        <x:v>sodium-dependent neutral amino acid transporter B(0)AT3</x:v>
      </x:c>
      <x:c r="C101" s="10" t="str">
        <x:v>Nitrogen, Amino Acid Transport &amp; Metabolism</x:v>
      </x:c>
      <x:c r="D101" s="10" t="str">
        <x:v>Sodium-Dependent Nutrient Transporters</x:v>
      </x:c>
      <x:c r="E101" s="19" t="str">
        <x:f>IF(COUNTIF('Volcano 402'!$A$2:$A$403,A101)&gt;0,"Yes","No")</x:f>
        <x:v>No</x:v>
      </x:c>
      <x:c r="F101" s="19" t="str">
        <x:f>IF(COUNTIF('Heatmap 169'!$A$2:$A$170,A101)&gt;0,"Yes","No")</x:f>
        <x:v>No</x:v>
      </x:c>
      <x:c r="G101" s="10" t="str">
        <x:f>IF(AND(E101="Yes",F101="Yes"),"In all three",IF(E101="Yes","Also in Figure S102",IF(F101="Yes","Also in heatmap","Colleague only")))</x:f>
        <x:v>Colleague only</x:v>
      </x:c>
    </x:row>
    <x:row r="102">
      <x:c r="A102" s="10" t="str">
        <x:v>LOC126281245</x:v>
      </x:c>
      <x:c r="B102" s="10" t="str">
        <x:v>cysteine--tRNA ligase, cytoplasmic</x:v>
      </x:c>
      <x:c r="C102" s="10" t="str">
        <x:v>Protein Synthesis &amp; Translation</x:v>
      </x:c>
      <x:c r="D102" s="10" t="str">
        <x:v>Aminoacyl-tRNA Synthetases</x:v>
      </x:c>
      <x:c r="E102" s="19" t="str">
        <x:f>IF(COUNTIF('Volcano 402'!$A$2:$A$403,A102)&gt;0,"Yes","No")</x:f>
        <x:v>Yes</x:v>
      </x:c>
      <x:c r="F102" s="19" t="str">
        <x:f>IF(COUNTIF('Heatmap 169'!$A$2:$A$170,A102)&gt;0,"Yes","No")</x:f>
        <x:v>No</x:v>
      </x:c>
      <x:c r="G102" s="10" t="str">
        <x:f>IF(AND(E102="Yes",F102="Yes"),"In all three",IF(E102="Yes","Also in Figure S103",IF(F102="Yes","Also in heatmap","Colleague only")))</x:f>
        <x:v>Also in Figure S103</x:v>
      </x:c>
    </x:row>
    <x:row r="103">
      <x:c r="A103" s="10" t="str">
        <x:v>LOC126267253</x:v>
      </x:c>
      <x:c r="B103" s="10" t="str">
        <x:v>endoplasmic reticulum chaperone BiP-like</x:v>
      </x:c>
      <x:c r="C103" s="10" t="str">
        <x:v>Protein Synthesis &amp; Translation</x:v>
      </x:c>
      <x:c r="D103" s="10" t="str">
        <x:v>Protein Folding, Quality Control &amp; Chaperones</x:v>
      </x:c>
      <x:c r="E103" s="19" t="str">
        <x:f>IF(COUNTIF('Volcano 402'!$A$2:$A$403,A103)&gt;0,"Yes","No")</x:f>
        <x:v>Yes</x:v>
      </x:c>
      <x:c r="F103" s="19" t="str">
        <x:f>IF(COUNTIF('Heatmap 169'!$A$2:$A$170,A103)&gt;0,"Yes","No")</x:f>
        <x:v>No</x:v>
      </x:c>
      <x:c r="G103" s="10" t="str">
        <x:f>IF(AND(E103="Yes",F103="Yes"),"In all three",IF(E103="Yes","Also in Figure S104",IF(F103="Yes","Also in heatmap","Colleague only")))</x:f>
        <x:v>Also in Figure S104</x:v>
      </x:c>
    </x:row>
    <x:row r="104">
      <x:c r="A104" s="10" t="str">
        <x:v>LOC126293411</x:v>
      </x:c>
      <x:c r="B104" s="10" t="str">
        <x:v>60S ribosomal protein L15</x:v>
      </x:c>
      <x:c r="C104" s="10" t="str">
        <x:v>Protein Synthesis &amp; Translation</x:v>
      </x:c>
      <x:c r="D104" s="10" t="str">
        <x:v>Ribosomal Machinery &amp; Protein Synthesis</x:v>
      </x:c>
      <x:c r="E104" s="19" t="str">
        <x:f>IF(COUNTIF('Volcano 402'!$A$2:$A$403,A104)&gt;0,"Yes","No")</x:f>
        <x:v>Yes</x:v>
      </x:c>
      <x:c r="F104" s="19" t="str">
        <x:f>IF(COUNTIF('Heatmap 169'!$A$2:$A$170,A104)&gt;0,"Yes","No")</x:f>
        <x:v>No</x:v>
      </x:c>
      <x:c r="G104" s="10" t="str">
        <x:f>IF(AND(E104="Yes",F104="Yes"),"In all three",IF(E104="Yes","Also in Figure S105",IF(F104="Yes","Also in heatmap","Colleague only")))</x:f>
        <x:v>Also in Figure S105</x:v>
      </x:c>
    </x:row>
    <x:row r="105">
      <x:c r="A105" s="10" t="str">
        <x:v>LOC126272094</x:v>
      </x:c>
      <x:c r="B105" s="10" t="str">
        <x:v>ribosome-binding protein 1</x:v>
      </x:c>
      <x:c r="C105" s="10" t="str">
        <x:v>Protein Synthesis &amp; Translation</x:v>
      </x:c>
      <x:c r="D105" s="10" t="str">
        <x:v>Ribosomal Structural Proteins &amp; Biogenesis</x:v>
      </x:c>
      <x:c r="E105" s="19" t="str">
        <x:f>IF(COUNTIF('Volcano 402'!$A$2:$A$403,A105)&gt;0,"Yes","No")</x:f>
        <x:v>Yes</x:v>
      </x:c>
      <x:c r="F105" s="19" t="str">
        <x:f>IF(COUNTIF('Heatmap 169'!$A$2:$A$170,A105)&gt;0,"Yes","No")</x:f>
        <x:v>No</x:v>
      </x:c>
      <x:c r="G105" s="10" t="str">
        <x:f>IF(AND(E105="Yes",F105="Yes"),"In all three",IF(E105="Yes","Also in Figure S106",IF(F105="Yes","Also in heatmap","Colleague only")))</x:f>
        <x:v>Also in Figure S106</x:v>
      </x:c>
    </x:row>
    <x:row r="106">
      <x:c r="A106" s="10" t="str">
        <x:v>LOC126354587</x:v>
      </x:c>
      <x:c r="B106" s="10" t="str">
        <x:v>nucleolar protein dao-5-like</x:v>
      </x:c>
      <x:c r="C106" s="10" t="str">
        <x:v>Protein Synthesis &amp; Translation</x:v>
      </x:c>
      <x:c r="D106" s="10" t="str">
        <x:v>Ribosomal Structural Proteins &amp; Biogenesis</x:v>
      </x:c>
      <x:c r="E106" s="19" t="str">
        <x:f>IF(COUNTIF('Volcano 402'!$A$2:$A$403,A106)&gt;0,"Yes","No")</x:f>
        <x:v>No</x:v>
      </x:c>
      <x:c r="F106" s="19" t="str">
        <x:f>IF(COUNTIF('Heatmap 169'!$A$2:$A$170,A106)&gt;0,"Yes","No")</x:f>
        <x:v>No</x:v>
      </x:c>
      <x:c r="G106" s="10" t="str">
        <x:f>IF(AND(E106="Yes",F106="Yes"),"In all three",IF(E106="Yes","Also in Figure S107",IF(F106="Yes","Also in heatmap","Colleague only")))</x:f>
        <x:v>Colleague only</x:v>
      </x:c>
    </x:row>
    <x:row r="107">
      <x:c r="A107" s="10" t="str">
        <x:v>LOC126334818</x:v>
      </x:c>
      <x:c r="B107" s="10" t="str">
        <x:v>ribosomal protein S6 kinase alpha-5-like</x:v>
      </x:c>
      <x:c r="C107" s="10" t="str">
        <x:v>Protein Synthesis &amp; Translation</x:v>
      </x:c>
      <x:c r="D107" s="10" t="str">
        <x:v>TOR Pathway Regulators &amp; Effectors</x:v>
      </x:c>
      <x:c r="E107" s="19" t="str">
        <x:f>IF(COUNTIF('Volcano 402'!$A$2:$A$403,A107)&gt;0,"Yes","No")</x:f>
        <x:v>Yes</x:v>
      </x:c>
      <x:c r="F107" s="19" t="str">
        <x:f>IF(COUNTIF('Heatmap 169'!$A$2:$A$170,A107)&gt;0,"Yes","No")</x:f>
        <x:v>No</x:v>
      </x:c>
      <x:c r="G107" s="10" t="str">
        <x:f>IF(AND(E107="Yes",F107="Yes"),"In all three",IF(E107="Yes","Also in Figure S108",IF(F107="Yes","Also in heatmap","Colleague only")))</x:f>
        <x:v>Also in Figure S108</x:v>
      </x:c>
    </x:row>
    <x:row r="108">
      <x:c r="A108" s="10" t="str">
        <x:v>LOC126272860</x:v>
      </x:c>
      <x:c r="B108" s="10" t="str">
        <x:v>translation initiation factor IF-2-like</x:v>
      </x:c>
      <x:c r="C108" s="10" t="str">
        <x:v>Protein Synthesis &amp; Translation</x:v>
      </x:c>
      <x:c r="D108" s="10" t="str">
        <x:v>Translation Initiation &amp; Elongation Factors</x:v>
      </x:c>
      <x:c r="E108" s="19" t="str">
        <x:f>IF(COUNTIF('Volcano 402'!$A$2:$A$403,A108)&gt;0,"Yes","No")</x:f>
        <x:v>Yes</x:v>
      </x:c>
      <x:c r="F108" s="19" t="str">
        <x:f>IF(COUNTIF('Heatmap 169'!$A$2:$A$170,A108)&gt;0,"Yes","No")</x:f>
        <x:v>Yes</x:v>
      </x:c>
      <x:c r="G108" s="10" t="str">
        <x:f>IF(AND(E108="Yes",F108="Yes"),"In all three",IF(E108="Yes","Also in Figure S109",IF(F108="Yes","Also in heatmap","Colleague only")))</x:f>
        <x:v>In all three</x:v>
      </x:c>
    </x:row>
    <x:row r="109">
      <x:c r="A109" s="10" t="str">
        <x:v>LOC126278820</x:v>
      </x:c>
      <x:c r="B109" s="10" t="str">
        <x:v>translation initiation factor IF-2-like</x:v>
      </x:c>
      <x:c r="C109" s="10" t="str">
        <x:v>Protein Synthesis &amp; Translation</x:v>
      </x:c>
      <x:c r="D109" s="10" t="str">
        <x:v>Translation Initiation &amp; Elongation Factors</x:v>
      </x:c>
      <x:c r="E109" s="19" t="str">
        <x:f>IF(COUNTIF('Volcano 402'!$A$2:$A$403,A109)&gt;0,"Yes","No")</x:f>
        <x:v>Yes</x:v>
      </x:c>
      <x:c r="F109" s="19" t="str">
        <x:f>IF(COUNTIF('Heatmap 169'!$A$2:$A$170,A109)&gt;0,"Yes","No")</x:f>
        <x:v>No</x:v>
      </x:c>
      <x:c r="G109" s="10" t="str">
        <x:f>IF(AND(E109="Yes",F109="Yes"),"In all three",IF(E109="Yes","Also in Figure S110",IF(F109="Yes","Also in heatmap","Colleague only")))</x:f>
        <x:v>Also in Figure S110</x:v>
      </x:c>
    </x:row>
    <x:row r="110">
      <x:c r="A110" s="10" t="str">
        <x:v>LOC126336833</x:v>
      </x:c>
      <x:c r="B110" s="10" t="str">
        <x:v>translation initiation factor IF-2-like</x:v>
      </x:c>
      <x:c r="C110" s="10" t="str">
        <x:v>Protein Synthesis &amp; Translation</x:v>
      </x:c>
      <x:c r="D110" s="10" t="str">
        <x:v>Translation Initiation &amp; Elongation Factors</x:v>
      </x:c>
      <x:c r="E110" s="19" t="str">
        <x:f>IF(COUNTIF('Volcano 402'!$A$2:$A$403,A110)&gt;0,"Yes","No")</x:f>
        <x:v>Yes</x:v>
      </x:c>
      <x:c r="F110" s="19" t="str">
        <x:f>IF(COUNTIF('Heatmap 169'!$A$2:$A$170,A110)&gt;0,"Yes","No")</x:f>
        <x:v>No</x:v>
      </x:c>
      <x:c r="G110" s="10" t="str">
        <x:f>IF(AND(E110="Yes",F110="Yes"),"In all three",IF(E110="Yes","Also in Figure S111",IF(F110="Yes","Also in heatmap","Colleague only")))</x:f>
        <x:v>Also in Figure S111</x:v>
      </x:c>
    </x:row>
    <x:row r="111">
      <x:c r="A111" s="10" t="str">
        <x:v>LOC126351946</x:v>
      </x:c>
      <x:c r="B111" s="10" t="str">
        <x:v>translation initiation factor IF-2</x:v>
      </x:c>
      <x:c r="C111" s="10" t="str">
        <x:v>Protein Synthesis &amp; Translation</x:v>
      </x:c>
      <x:c r="D111" s="10" t="str">
        <x:v>Translation Initiation &amp; Elongation Factors</x:v>
      </x:c>
      <x:c r="E111" s="19" t="str">
        <x:f>IF(COUNTIF('Volcano 402'!$A$2:$A$403,A111)&gt;0,"Yes","No")</x:f>
        <x:v>Yes</x:v>
      </x:c>
      <x:c r="F111" s="19" t="str">
        <x:f>IF(COUNTIF('Heatmap 169'!$A$2:$A$170,A111)&gt;0,"Yes","No")</x:f>
        <x:v>No</x:v>
      </x:c>
      <x:c r="G111" s="10" t="str">
        <x:f>IF(AND(E111="Yes",F111="Yes"),"In all three",IF(E111="Yes","Also in Figure S112",IF(F111="Yes","Also in heatmap","Colleague only")))</x:f>
        <x:v>Also in Figure S112</x:v>
      </x:c>
    </x:row>
    <x:row r="112">
      <x:c r="A112" s="10" t="str">
        <x:v>LOC126334873</x:v>
      </x:c>
      <x:c r="B112" s="10" t="str">
        <x:v>hexamerin-like</x:v>
      </x:c>
      <x:c r="C112" s="10" t="str">
        <x:v>Storage Hexamerins &amp; Reserves</x:v>
      </x:c>
      <x:c r="D112" s="10" t="str">
        <x:v>Hexamerin Storage Proteins</x:v>
      </x:c>
      <x:c r="E112" s="19" t="str">
        <x:f>IF(COUNTIF('Volcano 402'!$A$2:$A$403,A112)&gt;0,"Yes","No")</x:f>
        <x:v>Yes</x:v>
      </x:c>
      <x:c r="F112" s="19" t="str">
        <x:f>IF(COUNTIF('Heatmap 169'!$A$2:$A$170,A112)&gt;0,"Yes","No")</x:f>
        <x:v>No</x:v>
      </x:c>
      <x:c r="G112" s="10" t="str">
        <x:f>IF(AND(E112="Yes",F112="Yes"),"In all three",IF(E112="Yes","Also in Figure S113",IF(F112="Yes","Also in heatmap","Colleague only")))</x:f>
        <x:v>Also in Figure S113</x:v>
      </x:c>
    </x:row>
    <x:row r="113">
      <x:c r="A113" s="10" t="str">
        <x:v>LOC126334879</x:v>
      </x:c>
      <x:c r="B113" s="10" t="str">
        <x:v>hexamerin-like</x:v>
      </x:c>
      <x:c r="C113" s="10" t="str">
        <x:v>Storage Hexamerins &amp; Reserves</x:v>
      </x:c>
      <x:c r="D113" s="10" t="str">
        <x:v>Hexamerin Storage Proteins</x:v>
      </x:c>
      <x:c r="E113" s="19" t="str">
        <x:f>IF(COUNTIF('Volcano 402'!$A$2:$A$403,A113)&gt;0,"Yes","No")</x:f>
        <x:v>Yes</x:v>
      </x:c>
      <x:c r="F113" s="19" t="str">
        <x:f>IF(COUNTIF('Heatmap 169'!$A$2:$A$170,A113)&gt;0,"Yes","No")</x:f>
        <x:v>No</x:v>
      </x:c>
      <x:c r="G113" s="10" t="str">
        <x:f>IF(AND(E113="Yes",F113="Yes"),"In all three",IF(E113="Yes","Also in Figure S114",IF(F113="Yes","Also in heatmap","Colleague only")))</x:f>
        <x:v>Also in Figure S114</x:v>
      </x:c>
    </x:row>
    <x:row r="114">
      <x:c r="A114" s="10" t="str">
        <x:v>LOC126335724</x:v>
      </x:c>
      <x:c r="B114" s="10" t="str">
        <x:v>hexamerin-like</x:v>
      </x:c>
      <x:c r="C114" s="10" t="str">
        <x:v>Storage Hexamerins &amp; Reserves</x:v>
      </x:c>
      <x:c r="D114" s="10" t="str">
        <x:v>Hexamerin Storage Proteins</x:v>
      </x:c>
      <x:c r="E114" s="19" t="str">
        <x:f>IF(COUNTIF('Volcano 402'!$A$2:$A$403,A114)&gt;0,"Yes","No")</x:f>
        <x:v>Yes</x:v>
      </x:c>
      <x:c r="F114" s="19" t="str">
        <x:f>IF(COUNTIF('Heatmap 169'!$A$2:$A$170,A114)&gt;0,"Yes","No")</x:f>
        <x:v>Yes</x:v>
      </x:c>
      <x:c r="G114" s="10" t="str">
        <x:f>IF(AND(E114="Yes",F114="Yes"),"In all three",IF(E114="Yes","Also in Figure S115",IF(F114="Yes","Also in heatmap","Colleague only")))</x:f>
        <x:v>In all three</x:v>
      </x:c>
    </x:row>
    <x:row r="115">
      <x:c r="A115" s="10" t="str">
        <x:v>LOC126336409</x:v>
      </x:c>
      <x:c r="B115" s="10" t="str">
        <x:v>hexamerin-like</x:v>
      </x:c>
      <x:c r="C115" s="10" t="str">
        <x:v>Storage Hexamerins &amp; Reserves</x:v>
      </x:c>
      <x:c r="D115" s="10" t="str">
        <x:v>Hexamerin Storage Proteins</x:v>
      </x:c>
      <x:c r="E115" s="19" t="str">
        <x:f>IF(COUNTIF('Volcano 402'!$A$2:$A$403,A115)&gt;0,"Yes","No")</x:f>
        <x:v>Yes</x:v>
      </x:c>
      <x:c r="F115" s="19" t="str">
        <x:f>IF(COUNTIF('Heatmap 169'!$A$2:$A$170,A115)&gt;0,"Yes","No")</x:f>
        <x:v>Yes</x:v>
      </x:c>
      <x:c r="G115" s="10" t="str">
        <x:f>IF(AND(E115="Yes",F115="Yes"),"In all three",IF(E115="Yes","Also in Figure S116",IF(F115="Yes","Also in heatmap","Colleague only")))</x:f>
        <x:v>In all three</x:v>
      </x:c>
    </x:row>
    <x:row r="116">
      <x:c r="A116" s="10" t="str">
        <x:v>LOC126336417</x:v>
      </x:c>
      <x:c r="B116" s="10" t="str">
        <x:v>hexamerin-like</x:v>
      </x:c>
      <x:c r="C116" s="10" t="str">
        <x:v>Storage Hexamerins &amp; Reserves</x:v>
      </x:c>
      <x:c r="D116" s="10" t="str">
        <x:v>Hexamerin Storage Proteins</x:v>
      </x:c>
      <x:c r="E116" s="19" t="str">
        <x:f>IF(COUNTIF('Volcano 402'!$A$2:$A$403,A116)&gt;0,"Yes","No")</x:f>
        <x:v>Yes</x:v>
      </x:c>
      <x:c r="F116" s="19" t="str">
        <x:f>IF(COUNTIF('Heatmap 169'!$A$2:$A$170,A116)&gt;0,"Yes","No")</x:f>
        <x:v>No</x:v>
      </x:c>
      <x:c r="G116" s="10" t="str">
        <x:f>IF(AND(E116="Yes",F116="Yes"),"In all three",IF(E116="Yes","Also in Figure S117",IF(F116="Yes","Also in heatmap","Colleague only")))</x:f>
        <x:v>Also in Figure S117</x:v>
      </x:c>
    </x:row>
  </x:sheetData>
  <x:conditionalFormatting sqref="A2:G116">
    <x:cfRule type="expression" dxfId="0" priority="1">
      <x:formula>$G2="In all three"</x:formula>
    </x:cfRule>
    <x:cfRule type="expression" dxfId="1" priority="2">
      <x:formula>$G2="Also in Figure S3"</x:formula>
    </x:cfRule>
    <x:cfRule type="expression" dxfId="2" priority="3">
      <x:formula>$G2="Also in heatmap"</x:formula>
    </x:cfRule>
    <x:cfRule type="expression" dxfId="3" priority="4">
      <x:formula>$G2="Colleague 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fc9c8ac34148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35" hidden="0" customWidth="1"/>
    <x:col min="5" max="5" width="52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</x:cols>
  <x:sheetData>
    <x:row r="1" ht="34" customHeight="1">
      <x:c r="A1" s="6" t="str">
        <x:v>Gene ID</x:v>
      </x:c>
      <x:c r="B1" s="6" t="str">
        <x:v>Description</x:v>
      </x:c>
      <x:c r="C1" s="6" t="str">
        <x:v>Gene biotype</x:v>
      </x:c>
      <x:c r="D1" s="6" t="str">
        <x:v>Physiological theme</x:v>
      </x:c>
      <x:c r="E1" s="6" t="str">
        <x:v>Significant contrasts</x:v>
      </x:c>
      <x:c r="F1" s="16" t="str">
        <x:v>Maximum |log2FC|</x:v>
      </x:c>
      <x:c r="G1" s="17" t="str">
        <x:v>Minimum adjusted P</x:v>
      </x:c>
      <x:c r="H1" s="18" t="str">
        <x:v>Maximum base mean</x:v>
      </x:c>
      <x:c r="I1" s="6" t="str">
        <x:v>Labeled in Figure S3</x:v>
      </x:c>
    </x:row>
    <x:row r="2">
      <x:c r="A2" s="10" t="str">
        <x:v>LOC126267061</x:v>
      </x:c>
      <x:c r="B2" s="10" t="str">
        <x:v>peptidoglycan recognition protein 1-like</x:v>
      </x:c>
      <x:c r="C2" s="10" t="str">
        <x:v>protein_coding</x:v>
      </x:c>
      <x:c r="D2" s="10" t="str">
        <x:v>Antimicrobial peptides</x:v>
      </x:c>
      <x:c r="E2" s="10" t="str">
        <x:v>infection_average_all_diets; infection_diet33; infection_diet50; infection_diet83</x:v>
      </x:c>
      <x:c r="F2" s="10" t="n">
        <x:v>3.90296716921082</x:v>
      </x:c>
      <x:c r="G2" s="10" t="n">
        <x:v>1.87395611633171e-8</x:v>
      </x:c>
      <x:c r="H2" s="10" t="n">
        <x:v>18.2667160035024</x:v>
      </x:c>
      <x:c r="I2" s="15" t="b">
        <x:v>0</x:v>
      </x:c>
    </x:row>
    <x:row r="3">
      <x:c r="A3" s="10" t="str">
        <x:v>LOC126267162</x:v>
      </x:c>
      <x:c r="B3" s="10" t="str">
        <x:v>uncharacterized LOC126267162</x:v>
      </x:c>
      <x:c r="C3" s="10" t="str">
        <x:v>protein_coding</x:v>
      </x:c>
      <x:c r="D3" s="10" t="str">
        <x:v>Antimicrobial peptides</x:v>
      </x:c>
      <x:c r="E3" s="10" t="str">
        <x:v>infection_average_all_diets; infection_diet33; infection_diet50; infection_diet83</x:v>
      </x:c>
      <x:c r="F3" s="10" t="n">
        <x:v>2.3037591352121</x:v>
      </x:c>
      <x:c r="G3" s="10" t="n">
        <x:v>1.57501568135351e-29</x:v>
      </x:c>
      <x:c r="H3" s="10" t="n">
        <x:v>5009.89193850911</x:v>
      </x:c>
      <x:c r="I3" s="15" t="b">
        <x:v>0</x:v>
      </x:c>
    </x:row>
    <x:row r="4">
      <x:c r="A4" s="10" t="str">
        <x:v>LOC126267215</x:v>
      </x:c>
      <x:c r="B4" s="10" t="str">
        <x:v>peptidoglycan recognition protein 1-like</x:v>
      </x:c>
      <x:c r="C4" s="10" t="str">
        <x:v>protein_coding</x:v>
      </x:c>
      <x:c r="D4" s="10" t="str">
        <x:v>Antimicrobial peptides</x:v>
      </x:c>
      <x:c r="E4" s="10" t="str">
        <x:v>infection_average_all_diets; infection_diet33; infection_diet50; infection_diet83</x:v>
      </x:c>
      <x:c r="F4" s="10" t="n">
        <x:v>5.58120187934973</x:v>
      </x:c>
      <x:c r="G4" s="10" t="n">
        <x:v>5.33376210869211e-32</x:v>
      </x:c>
      <x:c r="H4" s="10" t="n">
        <x:v>454.20126239221</x:v>
      </x:c>
      <x:c r="I4" s="15" t="b">
        <x:v>0</x:v>
      </x:c>
    </x:row>
    <x:row r="5">
      <x:c r="A5" s="10" t="str">
        <x:v>LOC126267216</x:v>
      </x:c>
      <x:c r="B5" s="10" t="str">
        <x:v>peptidoglycan recognition protein 1-like</x:v>
      </x:c>
      <x:c r="C5" s="10" t="str">
        <x:v>protein_coding</x:v>
      </x:c>
      <x:c r="D5" s="10" t="str">
        <x:v>Antimicrobial peptides</x:v>
      </x:c>
      <x:c r="E5" s="10" t="str">
        <x:v>infected_diet33_vs50; infection_average_all_diets; infection_diet33; infection_diet50; infection_diet83</x:v>
      </x:c>
      <x:c r="F5" s="10" t="n">
        <x:v>4.58076896648078</x:v>
      </x:c>
      <x:c r="G5" s="10" t="n">
        <x:v>5.98752985542368e-17</x:v>
      </x:c>
      <x:c r="H5" s="10" t="n">
        <x:v>469.208214274264</x:v>
      </x:c>
      <x:c r="I5" s="15" t="b">
        <x:v>0</x:v>
      </x:c>
    </x:row>
    <x:row r="6">
      <x:c r="A6" s="10" t="str">
        <x:v>LOC126267217</x:v>
      </x:c>
      <x:c r="B6" s="10" t="str">
        <x:v>peptidoglycan recognition protein 1-like</x:v>
      </x:c>
      <x:c r="C6" s="10" t="str">
        <x:v>protein_coding</x:v>
      </x:c>
      <x:c r="D6" s="10" t="str">
        <x:v>Antimicrobial peptides</x:v>
      </x:c>
      <x:c r="E6" s="10" t="str">
        <x:v>infection_average_all_diets; infection_diet33; infection_diet50; infection_diet83</x:v>
      </x:c>
      <x:c r="F6" s="10" t="n">
        <x:v>3.95346860680132</x:v>
      </x:c>
      <x:c r="G6" s="10" t="n">
        <x:v>5.03120732666117e-8</x:v>
      </x:c>
      <x:c r="H6" s="10" t="n">
        <x:v>40.2390714036726</x:v>
      </x:c>
      <x:c r="I6" s="15" t="b">
        <x:v>0</x:v>
      </x:c>
    </x:row>
    <x:row r="7">
      <x:c r="A7" s="10" t="str">
        <x:v>LOC126267671</x:v>
      </x:c>
      <x:c r="B7" s="10" t="str">
        <x:v>peptidoglycan-recognition protein SD-like</x:v>
      </x:c>
      <x:c r="C7" s="10" t="str">
        <x:v>protein_coding</x:v>
      </x:c>
      <x:c r="D7" s="10" t="str">
        <x:v>Antimicrobial peptides</x:v>
      </x:c>
      <x:c r="E7" s="10" t="str">
        <x:v>infection_diet83</x:v>
      </x:c>
      <x:c r="F7" s="10" t="n">
        <x:v>1.30225495022562</x:v>
      </x:c>
      <x:c r="G7" s="10" t="n">
        <x:v>0.0461101178778313</x:v>
      </x:c>
      <x:c r="H7" s="10" t="n">
        <x:v>480.389205060427</x:v>
      </x:c>
      <x:c r="I7" s="15" t="b">
        <x:v>0</x:v>
      </x:c>
    </x:row>
    <x:row r="8">
      <x:c r="A8" s="10" t="str">
        <x:v>LOC126267876</x:v>
      </x:c>
      <x:c r="B8" s="10" t="str">
        <x:v>uncharacterized LOC126267876</x:v>
      </x:c>
      <x:c r="C8" s="10" t="str">
        <x:v>protein_coding</x:v>
      </x:c>
      <x:c r="D8" s="10" t="str">
        <x:v>Antimicrobial peptides</x:v>
      </x:c>
      <x:c r="E8" s="10" t="str">
        <x:v>infection_average_all_diets; infection_diet50; infection_diet83</x:v>
      </x:c>
      <x:c r="F8" s="10" t="n">
        <x:v>2.57735551736432</x:v>
      </x:c>
      <x:c r="G8" s="10" t="n">
        <x:v>2.38083308240727e-9</x:v>
      </x:c>
      <x:c r="H8" s="10" t="n">
        <x:v>338.566603595061</x:v>
      </x:c>
      <x:c r="I8" s="15" t="b">
        <x:v>0</x:v>
      </x:c>
    </x:row>
    <x:row r="9">
      <x:c r="A9" s="10" t="str">
        <x:v>LOC126268068</x:v>
      </x:c>
      <x:c r="B9" s="10" t="str">
        <x:v>peptidoglycan recognition protein 1-like</x:v>
      </x:c>
      <x:c r="C9" s="10" t="str">
        <x:v>protein_coding</x:v>
      </x:c>
      <x:c r="D9" s="10" t="str">
        <x:v>Antimicrobial peptides</x:v>
      </x:c>
      <x:c r="E9" s="10" t="str">
        <x:v>infection_average_all_diets; infection_diet33; infection_diet50; infection_diet83</x:v>
      </x:c>
      <x:c r="F9" s="10" t="n">
        <x:v>2.76019078192092</x:v>
      </x:c>
      <x:c r="G9" s="10" t="n">
        <x:v>4.57411259037618e-20</x:v>
      </x:c>
      <x:c r="H9" s="10" t="n">
        <x:v>705.406738563597</x:v>
      </x:c>
      <x:c r="I9" s="15" t="b">
        <x:v>0</x:v>
      </x:c>
    </x:row>
    <x:row r="10">
      <x:c r="A10" s="10" t="str">
        <x:v>LOC126271975</x:v>
      </x:c>
      <x:c r="B10" s="10" t="str">
        <x:v>lysozyme-like</x:v>
      </x:c>
      <x:c r="C10" s="10" t="str">
        <x:v>protein_coding</x:v>
      </x:c>
      <x:c r="D10" s="10" t="str">
        <x:v>Antimicrobial peptides</x:v>
      </x:c>
      <x:c r="E10" s="10" t="str">
        <x:v>infection_average_all_diets; infection_diet33; infection_diet50; infection_diet83</x:v>
      </x:c>
      <x:c r="F10" s="10" t="n">
        <x:v>6.86586467040731</x:v>
      </x:c>
      <x:c r="G10" s="10" t="n">
        <x:v>9.99549680266815e-26</x:v>
      </x:c>
      <x:c r="H10" s="10" t="n">
        <x:v>4203.12176427776</x:v>
      </x:c>
      <x:c r="I10" s="15" t="b">
        <x:v>1</x:v>
      </x:c>
    </x:row>
    <x:row r="11">
      <x:c r="A11" s="10" t="str">
        <x:v>LOC126272361</x:v>
      </x:c>
      <x:c r="B11" s="10" t="str">
        <x:v>lysozyme-like</x:v>
      </x:c>
      <x:c r="C11" s="10" t="str">
        <x:v>protein_coding</x:v>
      </x:c>
      <x:c r="D11" s="10" t="str">
        <x:v>Antimicrobial peptides</x:v>
      </x:c>
      <x:c r="E11" s="10" t="str">
        <x:v>infection_average_all_diets; infection_diet50; infection_diet83</x:v>
      </x:c>
      <x:c r="F11" s="10" t="n">
        <x:v>3.32245062517255</x:v>
      </x:c>
      <x:c r="G11" s="10" t="n">
        <x:v>3.39438674322741e-7</x:v>
      </x:c>
      <x:c r="H11" s="10" t="n">
        <x:v>512.692786264573</x:v>
      </x:c>
      <x:c r="I11" s="15" t="b">
        <x:v>0</x:v>
      </x:c>
    </x:row>
    <x:row r="12">
      <x:c r="A12" s="10" t="str">
        <x:v>LOC126272362</x:v>
      </x:c>
      <x:c r="B12" s="10" t="str">
        <x:v>lysozyme c-1-like</x:v>
      </x:c>
      <x:c r="C12" s="10" t="str">
        <x:v>protein_coding</x:v>
      </x:c>
      <x:c r="D12" s="10" t="str">
        <x:v>Antimicrobial peptides</x:v>
      </x:c>
      <x:c r="E12" s="10" t="str">
        <x:v>infection_diet50</x:v>
      </x:c>
      <x:c r="F12" s="10" t="n">
        <x:v>1.22091671711743</x:v>
      </x:c>
      <x:c r="G12" s="10" t="n">
        <x:v>0.0199555420524883</x:v>
      </x:c>
      <x:c r="H12" s="10" t="n">
        <x:v>39.3471338616186</x:v>
      </x:c>
      <x:c r="I12" s="15" t="b">
        <x:v>0</x:v>
      </x:c>
    </x:row>
    <x:row r="13">
      <x:c r="A13" s="10" t="str">
        <x:v>LOC126272364</x:v>
      </x:c>
      <x:c r="B13" s="10" t="str">
        <x:v>lysozyme-like</x:v>
      </x:c>
      <x:c r="C13" s="10" t="str">
        <x:v>protein_coding</x:v>
      </x:c>
      <x:c r="D13" s="10" t="str">
        <x:v>Antimicrobial peptides</x:v>
      </x:c>
      <x:c r="E13" s="10" t="str">
        <x:v>infection_average_all_diets</x:v>
      </x:c>
      <x:c r="F13" s="10" t="n">
        <x:v>1.11379825778116</x:v>
      </x:c>
      <x:c r="G13" s="10" t="n">
        <x:v>0.0235942022437473</x:v>
      </x:c>
      <x:c r="H13" s="10" t="n">
        <x:v>9.00551245149614</x:v>
      </x:c>
      <x:c r="I13" s="15" t="b">
        <x:v>0</x:v>
      </x:c>
    </x:row>
    <x:row r="14">
      <x:c r="A14" s="10" t="str">
        <x:v>LOC126273020</x:v>
      </x:c>
      <x:c r="B14" s="10" t="str">
        <x:v>uncharacterized LOC126273020</x:v>
      </x:c>
      <x:c r="C14" s="10" t="str">
        <x:v>protein_coding</x:v>
      </x:c>
      <x:c r="D14" s="10" t="str">
        <x:v>Antimicrobial peptides</x:v>
      </x:c>
      <x:c r="E14" s="10" t="str">
        <x:v>infected_diet33_vs50; infection_diet50</x:v>
      </x:c>
      <x:c r="F14" s="10" t="n">
        <x:v>2.91347162784922</x:v>
      </x:c>
      <x:c r="G14" s="10" t="n">
        <x:v>0.0025585467046118</x:v>
      </x:c>
      <x:c r="H14" s="10" t="n">
        <x:v>29.4909015369401</x:v>
      </x:c>
      <x:c r="I14" s="15" t="b">
        <x:v>0</x:v>
      </x:c>
    </x:row>
    <x:row r="15">
      <x:c r="A15" s="10" t="str">
        <x:v>LOC126277383</x:v>
      </x:c>
      <x:c r="B15" s="10" t="str">
        <x:v>putative lysozyme-like protein</x:v>
      </x:c>
      <x:c r="C15" s="10" t="str">
        <x:v>protein_coding</x:v>
      </x:c>
      <x:c r="D15" s="10" t="str">
        <x:v>Antimicrobial peptides</x:v>
      </x:c>
      <x:c r="E15" s="10" t="str">
        <x:v>infection_average_all_diets; infection_diet33; infection_diet50; infection_diet83</x:v>
      </x:c>
      <x:c r="F15" s="10" t="n">
        <x:v>3.19751882110954</x:v>
      </x:c>
      <x:c r="G15" s="10" t="n">
        <x:v>9.83689775859617e-9</x:v>
      </x:c>
      <x:c r="H15" s="10" t="n">
        <x:v>15003.6271092118</x:v>
      </x:c>
      <x:c r="I15" s="15" t="b">
        <x:v>0</x:v>
      </x:c>
    </x:row>
    <x:row r="16">
      <x:c r="A16" s="10" t="str">
        <x:v>LOC126285462</x:v>
      </x:c>
      <x:c r="B16" s="10" t="str">
        <x:v>peptidoglycan-recognition protein SB1-like</x:v>
      </x:c>
      <x:c r="C16" s="10" t="str">
        <x:v>protein_coding</x:v>
      </x:c>
      <x:c r="D16" s="10" t="str">
        <x:v>Antimicrobial peptides</x:v>
      </x:c>
      <x:c r="E16" s="10" t="str">
        <x:v>infection_average_all_diets; infection_diet33; infection_diet50; infection_diet83</x:v>
      </x:c>
      <x:c r="F16" s="10" t="n">
        <x:v>2.97244445740735</x:v>
      </x:c>
      <x:c r="G16" s="10" t="n">
        <x:v>1.87104827569478e-29</x:v>
      </x:c>
      <x:c r="H16" s="10" t="n">
        <x:v>1157.90480865537</x:v>
      </x:c>
      <x:c r="I16" s="15" t="b">
        <x:v>0</x:v>
      </x:c>
    </x:row>
    <x:row r="17">
      <x:c r="A17" s="10" t="str">
        <x:v>LOC126322854</x:v>
      </x:c>
      <x:c r="B17" s="10" t="str">
        <x:v>invertebrate-type lysozyme 3-like</x:v>
      </x:c>
      <x:c r="C17" s="10" t="str">
        <x:v>protein_coding</x:v>
      </x:c>
      <x:c r="D17" s="10" t="str">
        <x:v>Antimicrobial peptides</x:v>
      </x:c>
      <x:c r="E17" s="10" t="str">
        <x:v>infection_average_all_diets; infection_diet50</x:v>
      </x:c>
      <x:c r="F17" s="10" t="n">
        <x:v>1.43164055533583</x:v>
      </x:c>
      <x:c r="G17" s="10" t="n">
        <x:v>0.0015895181336709</x:v>
      </x:c>
      <x:c r="H17" s="10" t="n">
        <x:v>24.5416956080082</x:v>
      </x:c>
      <x:c r="I17" s="15" t="b">
        <x:v>0</x:v>
      </x:c>
    </x:row>
    <x:row r="18">
      <x:c r="A18" s="10" t="str">
        <x:v>LOC126322960</x:v>
      </x:c>
      <x:c r="B18" s="10" t="str">
        <x:v>lysozyme-like</x:v>
      </x:c>
      <x:c r="C18" s="10" t="str">
        <x:v>protein_coding</x:v>
      </x:c>
      <x:c r="D18" s="10" t="str">
        <x:v>Antimicrobial peptides</x:v>
      </x:c>
      <x:c r="E18" s="10" t="str">
        <x:v>infection_diet50</x:v>
      </x:c>
      <x:c r="F18" s="10" t="n">
        <x:v>1.27995688511501</x:v>
      </x:c>
      <x:c r="G18" s="10" t="n">
        <x:v>0.0346813626142455</x:v>
      </x:c>
      <x:c r="H18" s="10" t="n">
        <x:v>162.032269119011</x:v>
      </x:c>
      <x:c r="I18" s="15" t="b">
        <x:v>0</x:v>
      </x:c>
    </x:row>
    <x:row r="19">
      <x:c r="A19" s="10" t="str">
        <x:v>LOC126323134</x:v>
      </x:c>
      <x:c r="B19" s="10" t="str">
        <x:v>uncharacterized LOC126323134</x:v>
      </x:c>
      <x:c r="C19" s="10" t="str">
        <x:v>protein_coding</x:v>
      </x:c>
      <x:c r="D19" s="10" t="str">
        <x:v>Antimicrobial peptides</x:v>
      </x:c>
      <x:c r="E19" s="10" t="str">
        <x:v>infection_average_all_diets; infection_diet33; infection_diet83</x:v>
      </x:c>
      <x:c r="F19" s="10" t="n">
        <x:v>7.36666710326592</x:v>
      </x:c>
      <x:c r="G19" s="10" t="n">
        <x:v>4.24694343239845e-8</x:v>
      </x:c>
      <x:c r="H19" s="10" t="n">
        <x:v>64.0036552071313</x:v>
      </x:c>
      <x:c r="I19" s="15" t="b">
        <x:v>0</x:v>
      </x:c>
    </x:row>
    <x:row r="20">
      <x:c r="A20" s="10" t="str">
        <x:v>LOC126323151</x:v>
      </x:c>
      <x:c r="B20" s="10" t="str">
        <x:v>uncharacterized LOC126323151</x:v>
      </x:c>
      <x:c r="C20" s="10" t="str">
        <x:v>protein_coding</x:v>
      </x:c>
      <x:c r="D20" s="10" t="str">
        <x:v>Antimicrobial peptides</x:v>
      </x:c>
      <x:c r="E20" s="10" t="str">
        <x:v>control_diet83_vs50; infection_average_all_diets; infection_diet83</x:v>
      </x:c>
      <x:c r="F20" s="10" t="n">
        <x:v>9.29015110238981</x:v>
      </x:c>
      <x:c r="G20" s="10" t="n">
        <x:v>0.00013485320579</x:v>
      </x:c>
      <x:c r="H20" s="10" t="n">
        <x:v>23.9903116945246</x:v>
      </x:c>
      <x:c r="I20" s="15" t="b">
        <x:v>0</x:v>
      </x:c>
    </x:row>
    <x:row r="21">
      <x:c r="A21" s="10" t="str">
        <x:v>LOC126323167</x:v>
      </x:c>
      <x:c r="B21" s="10" t="str">
        <x:v>uncharacterized LOC126323167</x:v>
      </x:c>
      <x:c r="C21" s="10" t="str">
        <x:v>protein_coding</x:v>
      </x:c>
      <x:c r="D21" s="10" t="str">
        <x:v>Antimicrobial peptides</x:v>
      </x:c>
      <x:c r="E21" s="10" t="str">
        <x:v>infection_average_all_diets; infection_diet50; infection_diet83</x:v>
      </x:c>
      <x:c r="F21" s="10" t="n">
        <x:v>2.77115775543784</x:v>
      </x:c>
      <x:c r="G21" s="10" t="n">
        <x:v>0.000175203621678</x:v>
      </x:c>
      <x:c r="H21" s="10" t="n">
        <x:v>41.9155092023782</x:v>
      </x:c>
      <x:c r="I21" s="15" t="b">
        <x:v>0</x:v>
      </x:c>
    </x:row>
    <x:row r="22">
      <x:c r="A22" s="10" t="str">
        <x:v>LOC126323183</x:v>
      </x:c>
      <x:c r="B22" s="10" t="str">
        <x:v>uncharacterized LOC126323183</x:v>
      </x:c>
      <x:c r="C22" s="10" t="str">
        <x:v>protein_coding</x:v>
      </x:c>
      <x:c r="D22" s="10" t="str">
        <x:v>Antimicrobial peptides</x:v>
      </x:c>
      <x:c r="E22" s="10" t="str">
        <x:v>infection_average_all_diets; infection_diet33; infection_diet83</x:v>
      </x:c>
      <x:c r="F22" s="10" t="n">
        <x:v>4.8896932418116</x:v>
      </x:c>
      <x:c r="G22" s="10" t="n">
        <x:v>0.00000197384198648318</x:v>
      </x:c>
      <x:c r="H22" s="10" t="n">
        <x:v>21.1753033499941</x:v>
      </x:c>
      <x:c r="I22" s="15" t="b">
        <x:v>0</x:v>
      </x:c>
    </x:row>
    <x:row r="23">
      <x:c r="A23" s="10" t="str">
        <x:v>LOC126334779</x:v>
      </x:c>
      <x:c r="B23" s="10" t="str">
        <x:v>defensin-1-like</x:v>
      </x:c>
      <x:c r="C23" s="10" t="str">
        <x:v>protein_coding</x:v>
      </x:c>
      <x:c r="D23" s="10" t="str">
        <x:v>Antimicrobial peptides</x:v>
      </x:c>
      <x:c r="E23" s="10" t="str">
        <x:v>infection_average_all_diets; infection_diet50</x:v>
      </x:c>
      <x:c r="F23" s="10" t="n">
        <x:v>2.64095886070274</x:v>
      </x:c>
      <x:c r="G23" s="10" t="n">
        <x:v>0.0034326606935205</x:v>
      </x:c>
      <x:c r="H23" s="10" t="n">
        <x:v>2195.35097594455</x:v>
      </x:c>
      <x:c r="I23" s="15" t="b">
        <x:v>0</x:v>
      </x:c>
    </x:row>
    <x:row r="24">
      <x:c r="A24" s="10" t="str">
        <x:v>LOC126334780</x:v>
      </x:c>
      <x:c r="B24" s="10" t="str">
        <x:v>defensin-1-like</x:v>
      </x:c>
      <x:c r="C24" s="10" t="str">
        <x:v>protein_coding</x:v>
      </x:c>
      <x:c r="D24" s="10" t="str">
        <x:v>Antimicrobial peptides</x:v>
      </x:c>
      <x:c r="E24" s="10" t="str">
        <x:v>infection_average_all_diets; infection_diet50</x:v>
      </x:c>
      <x:c r="F24" s="10" t="n">
        <x:v>2.7216389856794</x:v>
      </x:c>
      <x:c r="G24" s="10" t="n">
        <x:v>0.0052619429169298</x:v>
      </x:c>
      <x:c r="H24" s="10" t="n">
        <x:v>463.819522019859</x:v>
      </x:c>
      <x:c r="I24" s="15" t="b">
        <x:v>0</x:v>
      </x:c>
    </x:row>
    <x:row r="25">
      <x:c r="A25" s="10" t="str">
        <x:v>LOC126336322</x:v>
      </x:c>
      <x:c r="B25" s="10" t="str">
        <x:v>defensin-like</x:v>
      </x:c>
      <x:c r="C25" s="10" t="str">
        <x:v>protein_coding</x:v>
      </x:c>
      <x:c r="D25" s="10" t="str">
        <x:v>Antimicrobial peptides</x:v>
      </x:c>
      <x:c r="E25" s="10" t="str">
        <x:v>infection_average_all_diets; infection_diet83</x:v>
      </x:c>
      <x:c r="F25" s="10" t="n">
        <x:v>4.46961606968391</x:v>
      </x:c>
      <x:c r="G25" s="10" t="n">
        <x:v>0.0003145620483466</x:v>
      </x:c>
      <x:c r="H25" s="10" t="n">
        <x:v>3.17561312434634</x:v>
      </x:c>
      <x:c r="I25" s="15" t="b">
        <x:v>0</x:v>
      </x:c>
    </x:row>
    <x:row r="26">
      <x:c r="A26" s="10" t="str">
        <x:v>LOC126336325</x:v>
      </x:c>
      <x:c r="B26" s="10" t="str">
        <x:v>defensin-like</x:v>
      </x:c>
      <x:c r="C26" s="10" t="str">
        <x:v>protein_coding</x:v>
      </x:c>
      <x:c r="D26" s="10" t="str">
        <x:v>Antimicrobial peptides</x:v>
      </x:c>
      <x:c r="E26" s="10" t="str">
        <x:v>infection_average_all_diets; infection_diet33; infection_diet50; infection_diet83</x:v>
      </x:c>
      <x:c r="F26" s="10" t="n">
        <x:v>7.02399448480003</x:v>
      </x:c>
      <x:c r="G26" s="10" t="n">
        <x:v>1.93751985637467e-24</x:v>
      </x:c>
      <x:c r="H26" s="10" t="n">
        <x:v>349.964577517824</x:v>
      </x:c>
      <x:c r="I26" s="15" t="b">
        <x:v>1</x:v>
      </x:c>
    </x:row>
    <x:row r="27">
      <x:c r="A27" s="10" t="str">
        <x:v>LOC126356204</x:v>
      </x:c>
      <x:c r="B27" s="10" t="str">
        <x:v>zwittermicin A synthase ZmaJ</x:v>
      </x:c>
      <x:c r="C27" s="10" t="str">
        <x:v>protein_coding</x:v>
      </x:c>
      <x:c r="D27" s="10" t="str">
        <x:v>Antimicrobial peptides</x:v>
      </x:c>
      <x:c r="E27" s="10" t="str">
        <x:v>infection_average_all_diets; infection_diet33; infection_diet50; infection_diet83</x:v>
      </x:c>
      <x:c r="F27" s="10" t="n">
        <x:v>3.37836105854192</x:v>
      </x:c>
      <x:c r="G27" s="10" t="n">
        <x:v>2.06581450709866e-13</x:v>
      </x:c>
      <x:c r="H27" s="10" t="n">
        <x:v>469.271799570125</x:v>
      </x:c>
      <x:c r="I27" s="15" t="b">
        <x:v>0</x:v>
      </x:c>
    </x:row>
    <x:row r="28">
      <x:c r="A28" s="10" t="str">
        <x:v>LOC126365918</x:v>
      </x:c>
      <x:c r="B28" s="10" t="str">
        <x:v>peptidoglycan-recognition protein LA-like</x:v>
      </x:c>
      <x:c r="C28" s="10" t="str">
        <x:v>protein_coding</x:v>
      </x:c>
      <x:c r="D28" s="10" t="str">
        <x:v>Antimicrobial peptides</x:v>
      </x:c>
      <x:c r="E28" s="10" t="str">
        <x:v>infection_average_all_diets; infection_diet33; infection_diet50; infection_diet83</x:v>
      </x:c>
      <x:c r="F28" s="10" t="n">
        <x:v>1.70440125914395</x:v>
      </x:c>
      <x:c r="G28" s="10" t="n">
        <x:v>5.809885511197419e-12</x:v>
      </x:c>
      <x:c r="H28" s="10" t="n">
        <x:v>1367.29236163405</x:v>
      </x:c>
      <x:c r="I28" s="15" t="b">
        <x:v>0</x:v>
      </x:c>
    </x:row>
    <x:row r="29">
      <x:c r="A29" s="10" t="str">
        <x:v>LOC126266662</x:v>
      </x:c>
      <x:c r="B29" s="10" t="str">
        <x:v>heat shock protein 68-like</x:v>
      </x:c>
      <x:c r="C29" s="10" t="str">
        <x:v>protein_coding</x:v>
      </x:c>
      <x:c r="D29" s="10" t="str">
        <x:v>Detoxification / stress</x:v>
      </x:c>
      <x:c r="E29" s="10" t="str">
        <x:v>infection_average_all_diets; infection_diet50; infection_diet83</x:v>
      </x:c>
      <x:c r="F29" s="10" t="n">
        <x:v>1.66531757340395</x:v>
      </x:c>
      <x:c r="G29" s="10" t="n">
        <x:v>0.00000298932076600182</x:v>
      </x:c>
      <x:c r="H29" s="10" t="n">
        <x:v>142.51900697411</x:v>
      </x:c>
      <x:c r="I29" s="15" t="b">
        <x:v>0</x:v>
      </x:c>
    </x:row>
    <x:row r="30">
      <x:c r="A30" s="10" t="str">
        <x:v>LOC126266674</x:v>
      </x:c>
      <x:c r="B30" s="10" t="str">
        <x:v>activator of 90 kDa heat shock protein ATPase homolog 1-like</x:v>
      </x:c>
      <x:c r="C30" s="10" t="str">
        <x:v>protein_coding</x:v>
      </x:c>
      <x:c r="D30" s="10" t="str">
        <x:v>Detoxification / stress</x:v>
      </x:c>
      <x:c r="E30" s="10" t="str">
        <x:v>infection_diet50</x:v>
      </x:c>
      <x:c r="F30" s="10" t="n">
        <x:v>1.95289034606531</x:v>
      </x:c>
      <x:c r="G30" s="10" t="n">
        <x:v>0.0344939467923203</x:v>
      </x:c>
      <x:c r="H30" s="10" t="n">
        <x:v>9.92148121409855</x:v>
      </x:c>
      <x:c r="I30" s="15" t="b">
        <x:v>0</x:v>
      </x:c>
    </x:row>
    <x:row r="31">
      <x:c r="A31" s="10" t="str">
        <x:v>LOC126266714</x:v>
      </x:c>
      <x:c r="B31" s="10" t="str">
        <x:v>uncharacterized LOC126266714</x:v>
      </x:c>
      <x:c r="C31" s="10" t="str">
        <x:v>protein_coding</x:v>
      </x:c>
      <x:c r="D31" s="10" t="str">
        <x:v>Detoxification / stress</x:v>
      </x:c>
      <x:c r="E31" s="10" t="str">
        <x:v>infection_average_all_diets; infection_diet50</x:v>
      </x:c>
      <x:c r="F31" s="10" t="n">
        <x:v>3.1541909535135</x:v>
      </x:c>
      <x:c r="G31" s="10" t="n">
        <x:v>0.0000110450028510864</x:v>
      </x:c>
      <x:c r="H31" s="10" t="n">
        <x:v>40.4086199004627</x:v>
      </x:c>
      <x:c r="I31" s="15" t="b">
        <x:v>0</x:v>
      </x:c>
    </x:row>
    <x:row r="32">
      <x:c r="A32" s="10" t="str">
        <x:v>LOC126266725</x:v>
      </x:c>
      <x:c r="B32" s="10" t="str">
        <x:v>probable cytochrome P450 301a1, mitochondrial</x:v>
      </x:c>
      <x:c r="C32" s="10" t="str">
        <x:v>protein_coding</x:v>
      </x:c>
      <x:c r="D32" s="10" t="str">
        <x:v>Detoxification / stress</x:v>
      </x:c>
      <x:c r="E32" s="10" t="str">
        <x:v>infection_average_all_diets; infection_diet33</x:v>
      </x:c>
      <x:c r="F32" s="10" t="n">
        <x:v>1.05992846147389</x:v>
      </x:c>
      <x:c r="G32" s="10" t="n">
        <x:v>0.0000641023920121173</x:v>
      </x:c>
      <x:c r="H32" s="10" t="n">
        <x:v>133.411191851577</x:v>
      </x:c>
      <x:c r="I32" s="15" t="b">
        <x:v>0</x:v>
      </x:c>
    </x:row>
    <x:row r="33">
      <x:c r="A33" s="10" t="str">
        <x:v>LOC126266822</x:v>
      </x:c>
      <x:c r="B33" s="10" t="str">
        <x:v>probable cytochrome P450 4aa1</x:v>
      </x:c>
      <x:c r="C33" s="10" t="str">
        <x:v>protein_coding</x:v>
      </x:c>
      <x:c r="D33" s="10" t="str">
        <x:v>Detoxification / stress</x:v>
      </x:c>
      <x:c r="E33" s="10" t="str">
        <x:v>infection_average_all_diets; infection_diet33; infection_diet50</x:v>
      </x:c>
      <x:c r="F33" s="10" t="n">
        <x:v>1.51450264241221</x:v>
      </x:c>
      <x:c r="G33" s="10" t="n">
        <x:v>0.000760357259073</x:v>
      </x:c>
      <x:c r="H33" s="10" t="n">
        <x:v>863.281957343689</x:v>
      </x:c>
      <x:c r="I33" s="15" t="b">
        <x:v>0</x:v>
      </x:c>
    </x:row>
    <x:row r="34">
      <x:c r="A34" s="10" t="str">
        <x:v>LOC126266828</x:v>
      </x:c>
      <x:c r="B34" s="10" t="str">
        <x:v>senecionine N-oxygenase-like</x:v>
      </x:c>
      <x:c r="C34" s="10" t="str">
        <x:v>protein_coding</x:v>
      </x:c>
      <x:c r="D34" s="10" t="str">
        <x:v>Detoxification / stress</x:v>
      </x:c>
      <x:c r="E34" s="10" t="str">
        <x:v>infection_average_all_diets</x:v>
      </x:c>
      <x:c r="F34" s="10" t="n">
        <x:v>1.82935258382065</x:v>
      </x:c>
      <x:c r="G34" s="10" t="n">
        <x:v>0.0006616831991608</x:v>
      </x:c>
      <x:c r="H34" s="10" t="n">
        <x:v>54.6014280803202</x:v>
      </x:c>
      <x:c r="I34" s="15" t="b">
        <x:v>0</x:v>
      </x:c>
    </x:row>
    <x:row r="35">
      <x:c r="A35" s="10" t="str">
        <x:v>LOC126266841</x:v>
      </x:c>
      <x:c r="B35" s="10" t="str">
        <x:v>FAD-dependent oxidoreductase domain-containing protein 1-like</x:v>
      </x:c>
      <x:c r="C35" s="10" t="str">
        <x:v>protein_coding</x:v>
      </x:c>
      <x:c r="D35" s="10" t="str">
        <x:v>Detoxification / stress</x:v>
      </x:c>
      <x:c r="E35" s="10" t="str">
        <x:v>infection_diet50</x:v>
      </x:c>
      <x:c r="F35" s="10" t="n">
        <x:v>1.42716479946224</x:v>
      </x:c>
      <x:c r="G35" s="10" t="n">
        <x:v>0.0431663576378099</x:v>
      </x:c>
      <x:c r="H35" s="10" t="n">
        <x:v>121.419407194252</x:v>
      </x:c>
      <x:c r="I35" s="15" t="b">
        <x:v>0</x:v>
      </x:c>
    </x:row>
    <x:row r="36">
      <x:c r="A36" s="10" t="str">
        <x:v>LOC126267013</x:v>
      </x:c>
      <x:c r="B36" s="10" t="str">
        <x:v>cytochrome P450 3A6-like</x:v>
      </x:c>
      <x:c r="C36" s="10" t="str">
        <x:v>protein_coding</x:v>
      </x:c>
      <x:c r="D36" s="10" t="str">
        <x:v>Detoxification / stress</x:v>
      </x:c>
      <x:c r="E36" s="10" t="str">
        <x:v>infection_average_all_diets; infection_diet50</x:v>
      </x:c>
      <x:c r="F36" s="10" t="n">
        <x:v>4.67396788098576</x:v>
      </x:c>
      <x:c r="G36" s="10" t="n">
        <x:v>0.0139653886776653</x:v>
      </x:c>
      <x:c r="H36" s="10" t="n">
        <x:v>3.47307023233678</x:v>
      </x:c>
      <x:c r="I36" s="15" t="b">
        <x:v>0</x:v>
      </x:c>
    </x:row>
    <x:row r="37">
      <x:c r="A37" s="10" t="str">
        <x:v>LOC126267253</x:v>
      </x:c>
      <x:c r="B37" s="10" t="str">
        <x:v>endoplasmic reticulum chaperone BiP-like</x:v>
      </x:c>
      <x:c r="C37" s="10" t="str">
        <x:v>protein_coding</x:v>
      </x:c>
      <x:c r="D37" s="10" t="str">
        <x:v>Detoxification / stress</x:v>
      </x:c>
      <x:c r="E37" s="10" t="str">
        <x:v>infection_average_all_diets; infection_diet33; infection_diet50</x:v>
      </x:c>
      <x:c r="F37" s="10" t="n">
        <x:v>1.60565599920025</x:v>
      </x:c>
      <x:c r="G37" s="10" t="n">
        <x:v>0.0029878790526209</x:v>
      </x:c>
      <x:c r="H37" s="10" t="n">
        <x:v>1144.19420827595</x:v>
      </x:c>
      <x:c r="I37" s="15" t="b">
        <x:v>0</x:v>
      </x:c>
    </x:row>
    <x:row r="38">
      <x:c r="A38" s="10" t="str">
        <x:v>LOC126267471</x:v>
      </x:c>
      <x:c r="B38" s="10" t="str">
        <x:v>PC-esterase domain-containing protein 1A-like</x:v>
      </x:c>
      <x:c r="C38" s="10" t="str">
        <x:v>protein_coding</x:v>
      </x:c>
      <x:c r="D38" s="10" t="str">
        <x:v>Detoxification / stress</x:v>
      </x:c>
      <x:c r="E38" s="10" t="str">
        <x:v>infection_average_all_diets; infection_diet33; infection_diet50; infection_diet83</x:v>
      </x:c>
      <x:c r="F38" s="10" t="n">
        <x:v>1.49546482431267</x:v>
      </x:c>
      <x:c r="G38" s="10" t="n">
        <x:v>2.00058649055261e-8</x:v>
      </x:c>
      <x:c r="H38" s="10" t="n">
        <x:v>101.987969452518</x:v>
      </x:c>
      <x:c r="I38" s="15" t="b">
        <x:v>0</x:v>
      </x:c>
    </x:row>
    <x:row r="39">
      <x:c r="A39" s="10" t="str">
        <x:v>LOC126267571</x:v>
      </x:c>
      <x:c r="B39" s="10" t="str">
        <x:v>NADH-ubiquinone oxidoreductase chain 5-like</x:v>
      </x:c>
      <x:c r="C39" s="10" t="str">
        <x:v>protein_coding</x:v>
      </x:c>
      <x:c r="D39" s="10" t="str">
        <x:v>Detoxification / stress</x:v>
      </x:c>
      <x:c r="E39" s="10" t="str">
        <x:v>infection_average_all_diets; infection_diet83</x:v>
      </x:c>
      <x:c r="F39" s="10" t="n">
        <x:v>2.4493254276909</x:v>
      </x:c>
      <x:c r="G39" s="10" t="n">
        <x:v>0.0020642108594009</x:v>
      </x:c>
      <x:c r="H39" s="10" t="n">
        <x:v>4.67755732311693</x:v>
      </x:c>
      <x:c r="I39" s="15" t="b">
        <x:v>0</x:v>
      </x:c>
    </x:row>
    <x:row r="40">
      <x:c r="A40" s="10" t="str">
        <x:v>LOC126268096</x:v>
      </x:c>
      <x:c r="B40" s="10" t="str">
        <x:v>methyl farnesoate epoxidase-like</x:v>
      </x:c>
      <x:c r="C40" s="10" t="str">
        <x:v>protein_coding</x:v>
      </x:c>
      <x:c r="D40" s="10" t="str">
        <x:v>Detoxification / stress</x:v>
      </x:c>
      <x:c r="E40" s="10" t="str">
        <x:v>infection_diet50</x:v>
      </x:c>
      <x:c r="F40" s="10" t="n">
        <x:v>1.28754408300007</x:v>
      </x:c>
      <x:c r="G40" s="10" t="n">
        <x:v>0.0121592312432546</x:v>
      </x:c>
      <x:c r="H40" s="10" t="n">
        <x:v>29.4328502111687</x:v>
      </x:c>
      <x:c r="I40" s="15" t="b">
        <x:v>0</x:v>
      </x:c>
    </x:row>
    <x:row r="41">
      <x:c r="A41" s="10" t="str">
        <x:v>LOC126268099</x:v>
      </x:c>
      <x:c r="B41" s="10" t="str">
        <x:v>methyl farnesoate epoxidase-like</x:v>
      </x:c>
      <x:c r="C41" s="10" t="str">
        <x:v>protein_coding</x:v>
      </x:c>
      <x:c r="D41" s="10" t="str">
        <x:v>Detoxification / stress</x:v>
      </x:c>
      <x:c r="E41" s="10" t="str">
        <x:v>infection_average_all_diets; infection_diet83</x:v>
      </x:c>
      <x:c r="F41" s="10" t="n">
        <x:v>2.57191095490751</x:v>
      </x:c>
      <x:c r="G41" s="10" t="n">
        <x:v>0.00000268054559798517</x:v>
      </x:c>
      <x:c r="H41" s="10" t="n">
        <x:v>21.2127308102589</x:v>
      </x:c>
      <x:c r="I41" s="15" t="b">
        <x:v>0</x:v>
      </x:c>
    </x:row>
    <x:row r="42">
      <x:c r="A42" s="10" t="str">
        <x:v>LOC126268397</x:v>
      </x:c>
      <x:c r="B42" s="10" t="str">
        <x:v>failed axon connections</x:v>
      </x:c>
      <x:c r="C42" s="10" t="str">
        <x:v>protein_coding</x:v>
      </x:c>
      <x:c r="D42" s="10" t="str">
        <x:v>Detoxification / stress</x:v>
      </x:c>
      <x:c r="E42" s="10" t="str">
        <x:v>infection_average_all_diets; infection_diet33; infection_diet50</x:v>
      </x:c>
      <x:c r="F42" s="10" t="n">
        <x:v>1.4941888563973</x:v>
      </x:c>
      <x:c r="G42" s="10" t="n">
        <x:v>2.88097437479631e-8</x:v>
      </x:c>
      <x:c r="H42" s="10" t="n">
        <x:v>1916.01408902987</x:v>
      </x:c>
      <x:c r="I42" s="15" t="b">
        <x:v>0</x:v>
      </x:c>
    </x:row>
    <x:row r="43">
      <x:c r="A43" s="10" t="str">
        <x:v>LOC126270657</x:v>
      </x:c>
      <x:c r="B43" s="10" t="str">
        <x:v>cytochrome P450 18a1</x:v>
      </x:c>
      <x:c r="C43" s="10" t="str">
        <x:v>protein_coding</x:v>
      </x:c>
      <x:c r="D43" s="10" t="str">
        <x:v>Detoxification / stress</x:v>
      </x:c>
      <x:c r="E43" s="10" t="str">
        <x:v>infection_average_all_diets; infection_diet50</x:v>
      </x:c>
      <x:c r="F43" s="10" t="n">
        <x:v>2.27514120687236</x:v>
      </x:c>
      <x:c r="G43" s="10" t="n">
        <x:v>0.0015873629435471</x:v>
      </x:c>
      <x:c r="H43" s="10" t="n">
        <x:v>278.34046563694</x:v>
      </x:c>
      <x:c r="I43" s="15" t="b">
        <x:v>0</x:v>
      </x:c>
    </x:row>
    <x:row r="44">
      <x:c r="A44" s="10" t="str">
        <x:v>LOC126271905</x:v>
      </x:c>
      <x:c r="B44" s="10" t="str">
        <x:v>cytochrome P450 6k1-like</x:v>
      </x:c>
      <x:c r="C44" s="10" t="str">
        <x:v>protein_coding</x:v>
      </x:c>
      <x:c r="D44" s="10" t="str">
        <x:v>Detoxification / stress</x:v>
      </x:c>
      <x:c r="E44" s="10" t="str">
        <x:v>infection_diet33</x:v>
      </x:c>
      <x:c r="F44" s="10" t="n">
        <x:v>2.22714991548522</x:v>
      </x:c>
      <x:c r="G44" s="10" t="n">
        <x:v>0.0303018122238909</x:v>
      </x:c>
      <x:c r="H44" s="10" t="n">
        <x:v>13.956986989625</x:v>
      </x:c>
      <x:c r="I44" s="15" t="b">
        <x:v>0</x:v>
      </x:c>
    </x:row>
    <x:row r="45">
      <x:c r="A45" s="10" t="str">
        <x:v>LOC126271907</x:v>
      </x:c>
      <x:c r="B45" s="10" t="str">
        <x:v>cytochrome P450 6k1-like</x:v>
      </x:c>
      <x:c r="C45" s="10" t="str">
        <x:v>protein_coding</x:v>
      </x:c>
      <x:c r="D45" s="10" t="str">
        <x:v>Detoxification / stress</x:v>
      </x:c>
      <x:c r="E45" s="10" t="str">
        <x:v>infected_diet83_vs33; infection_diet33</x:v>
      </x:c>
      <x:c r="F45" s="10" t="n">
        <x:v>3.38316374799521</x:v>
      </x:c>
      <x:c r="G45" s="10" t="n">
        <x:v>0.0051896950108726</x:v>
      </x:c>
      <x:c r="H45" s="10" t="n">
        <x:v>94.9559501150771</x:v>
      </x:c>
      <x:c r="I45" s="15" t="b">
        <x:v>0</x:v>
      </x:c>
    </x:row>
    <x:row r="46">
      <x:c r="A46" s="10" t="str">
        <x:v>LOC126271908</x:v>
      </x:c>
      <x:c r="B46" s="10" t="str">
        <x:v>cytochrome P450 6k1-like</x:v>
      </x:c>
      <x:c r="C46" s="10" t="str">
        <x:v>protein_coding</x:v>
      </x:c>
      <x:c r="D46" s="10" t="str">
        <x:v>Detoxification / stress</x:v>
      </x:c>
      <x:c r="E46" s="10" t="str">
        <x:v>infection_diet50</x:v>
      </x:c>
      <x:c r="F46" s="10" t="n">
        <x:v>2.61907761682274</x:v>
      </x:c>
      <x:c r="G46" s="10" t="n">
        <x:v>0.0329915000400006</x:v>
      </x:c>
      <x:c r="H46" s="10" t="n">
        <x:v>6.06678202639791</x:v>
      </x:c>
      <x:c r="I46" s="15" t="b">
        <x:v>0</x:v>
      </x:c>
    </x:row>
    <x:row r="47">
      <x:c r="A47" s="10" t="str">
        <x:v>LOC126272144</x:v>
      </x:c>
      <x:c r="B47" s="10" t="str">
        <x:v>cytochrome P450 6k1-like</x:v>
      </x:c>
      <x:c r="C47" s="10" t="str">
        <x:v>protein_coding</x:v>
      </x:c>
      <x:c r="D47" s="10" t="str">
        <x:v>Detoxification / stress</x:v>
      </x:c>
      <x:c r="E47" s="10" t="str">
        <x:v>infected_diet33_vs50; infection_average_all_diets; infection_diet33</x:v>
      </x:c>
      <x:c r="F47" s="10" t="n">
        <x:v>2.66626528927524</x:v>
      </x:c>
      <x:c r="G47" s="10" t="n">
        <x:v>0.0000070661956195675</x:v>
      </x:c>
      <x:c r="H47" s="10" t="n">
        <x:v>208.450551211213</x:v>
      </x:c>
      <x:c r="I47" s="15" t="b">
        <x:v>0</x:v>
      </x:c>
    </x:row>
    <x:row r="48">
      <x:c r="A48" s="10" t="str">
        <x:v>LOC126272145</x:v>
      </x:c>
      <x:c r="B48" s="10" t="str">
        <x:v>probable cytochrome P450 6a14</x:v>
      </x:c>
      <x:c r="C48" s="10" t="str">
        <x:v>protein_coding</x:v>
      </x:c>
      <x:c r="D48" s="10" t="str">
        <x:v>Detoxification / stress</x:v>
      </x:c>
      <x:c r="E48" s="10" t="str">
        <x:v>infection_average_all_diets</x:v>
      </x:c>
      <x:c r="F48" s="10" t="n">
        <x:v>1.35280138427449</x:v>
      </x:c>
      <x:c r="G48" s="10" t="n">
        <x:v>0.0290844159882771</x:v>
      </x:c>
      <x:c r="H48" s="10" t="n">
        <x:v>7.06390405467282</x:v>
      </x:c>
      <x:c r="I48" s="15" t="b">
        <x:v>0</x:v>
      </x:c>
    </x:row>
    <x:row r="49">
      <x:c r="A49" s="10" t="str">
        <x:v>LOC126272273</x:v>
      </x:c>
      <x:c r="B49" s="10" t="str">
        <x:v>probable cytochrome P450 304a1</x:v>
      </x:c>
      <x:c r="C49" s="10" t="str">
        <x:v>protein_coding</x:v>
      </x:c>
      <x:c r="D49" s="10" t="str">
        <x:v>Detoxification / stress</x:v>
      </x:c>
      <x:c r="E49" s="10" t="str">
        <x:v>infected_diet83_vs50; infection_average_all_diets; infection_diet50</x:v>
      </x:c>
      <x:c r="F49" s="10" t="n">
        <x:v>3.86922230005703</x:v>
      </x:c>
      <x:c r="G49" s="10" t="n">
        <x:v>0.001997514706583</x:v>
      </x:c>
      <x:c r="H49" s="10" t="n">
        <x:v>219.987759418281</x:v>
      </x:c>
      <x:c r="I49" s="15" t="b">
        <x:v>1</x:v>
      </x:c>
    </x:row>
    <x:row r="50">
      <x:c r="A50" s="10" t="str">
        <x:v>LOC126272296</x:v>
      </x:c>
      <x:c r="B50" s="10" t="str">
        <x:v>cytochrome P450 6k1-like</x:v>
      </x:c>
      <x:c r="C50" s="10" t="str">
        <x:v>protein_coding</x:v>
      </x:c>
      <x:c r="D50" s="10" t="str">
        <x:v>Detoxification / stress</x:v>
      </x:c>
      <x:c r="E50" s="10" t="str">
        <x:v>infection_average_all_diets; infection_diet50</x:v>
      </x:c>
      <x:c r="F50" s="10" t="n">
        <x:v>3.03645001726528</x:v>
      </x:c>
      <x:c r="G50" s="10" t="n">
        <x:v>0.005809538123643</x:v>
      </x:c>
      <x:c r="H50" s="10" t="n">
        <x:v>181.248316339301</x:v>
      </x:c>
      <x:c r="I50" s="15" t="b">
        <x:v>0</x:v>
      </x:c>
    </x:row>
    <x:row r="51">
      <x:c r="A51" s="10" t="str">
        <x:v>LOC126272319</x:v>
      </x:c>
      <x:c r="B51" s="10" t="str">
        <x:v>cytochrome P450 6k1-like</x:v>
      </x:c>
      <x:c r="C51" s="10" t="str">
        <x:v>protein_coding</x:v>
      </x:c>
      <x:c r="D51" s="10" t="str">
        <x:v>Detoxification / stress</x:v>
      </x:c>
      <x:c r="E51" s="10" t="str">
        <x:v>infection_diet33</x:v>
      </x:c>
      <x:c r="F51" s="10" t="n">
        <x:v>2.24311232008716</x:v>
      </x:c>
      <x:c r="G51" s="10" t="n">
        <x:v>0.0106787057574196</x:v>
      </x:c>
      <x:c r="H51" s="10" t="n">
        <x:v>413.817411582047</x:v>
      </x:c>
      <x:c r="I51" s="15" t="b">
        <x:v>0</x:v>
      </x:c>
    </x:row>
    <x:row r="52">
      <x:c r="A52" s="10" t="str">
        <x:v>LOC126272450</x:v>
      </x:c>
      <x:c r="B52" s="10" t="str">
        <x:v>uncharacterized oxidoreductase YjmC-like</x:v>
      </x:c>
      <x:c r="C52" s="10" t="str">
        <x:v>protein_coding</x:v>
      </x:c>
      <x:c r="D52" s="10" t="str">
        <x:v>Detoxification / stress</x:v>
      </x:c>
      <x:c r="E52" s="10" t="str">
        <x:v>infection_diet50</x:v>
      </x:c>
      <x:c r="F52" s="10" t="n">
        <x:v>1.05414154693278</x:v>
      </x:c>
      <x:c r="G52" s="10" t="n">
        <x:v>0.029283702849203</x:v>
      </x:c>
      <x:c r="H52" s="10" t="n">
        <x:v>407.816699749587</x:v>
      </x:c>
      <x:c r="I52" s="15" t="b">
        <x:v>0</x:v>
      </x:c>
    </x:row>
    <x:row r="53">
      <x:c r="A53" s="10" t="str">
        <x:v>LOC126272683</x:v>
      </x:c>
      <x:c r="B53" s="10" t="str">
        <x:v>cytochrome P450 6k1-like</x:v>
      </x:c>
      <x:c r="C53" s="10" t="str">
        <x:v>protein_coding</x:v>
      </x:c>
      <x:c r="D53" s="10" t="str">
        <x:v>Detoxification / stress</x:v>
      </x:c>
      <x:c r="E53" s="10" t="str">
        <x:v>control_diet83_vs50; infection_diet50</x:v>
      </x:c>
      <x:c r="F53" s="10" t="n">
        <x:v>4.41537349919809</x:v>
      </x:c>
      <x:c r="G53" s="10" t="n">
        <x:v>0.0251948979470645</x:v>
      </x:c>
      <x:c r="H53" s="10" t="n">
        <x:v>75.841963017876</x:v>
      </x:c>
      <x:c r="I53" s="15" t="b">
        <x:v>1</x:v>
      </x:c>
    </x:row>
    <x:row r="54">
      <x:c r="A54" s="10" t="str">
        <x:v>LOC126272684</x:v>
      </x:c>
      <x:c r="B54" s="10" t="str">
        <x:v>cytochrome P450 6k1-like</x:v>
      </x:c>
      <x:c r="C54" s="10" t="str">
        <x:v>protein_coding</x:v>
      </x:c>
      <x:c r="D54" s="10" t="str">
        <x:v>Detoxification / stress</x:v>
      </x:c>
      <x:c r="E54" s="10" t="str">
        <x:v>infected_diet33_vs50</x:v>
      </x:c>
      <x:c r="F54" s="10" t="n">
        <x:v>2.22645758450172</x:v>
      </x:c>
      <x:c r="G54" s="10" t="n">
        <x:v>0.0306373915172788</x:v>
      </x:c>
      <x:c r="H54" s="10" t="n">
        <x:v>29.0262945308108</x:v>
      </x:c>
      <x:c r="I54" s="15" t="b">
        <x:v>0</x:v>
      </x:c>
    </x:row>
    <x:row r="55">
      <x:c r="A55" s="10" t="str">
        <x:v>LOC126272716</x:v>
      </x:c>
      <x:c r="B55" s="10" t="str">
        <x:v>pyrimidodiazepine synthase-like</x:v>
      </x:c>
      <x:c r="C55" s="10" t="str">
        <x:v>protein_coding</x:v>
      </x:c>
      <x:c r="D55" s="10" t="str">
        <x:v>Detoxification / stress</x:v>
      </x:c>
      <x:c r="E55" s="10" t="str">
        <x:v>infected_diet83_vs33; infection_diet33</x:v>
      </x:c>
      <x:c r="F55" s="10" t="n">
        <x:v>3.39406963669023</x:v>
      </x:c>
      <x:c r="G55" s="10" t="n">
        <x:v>0.0100638494135008</x:v>
      </x:c>
      <x:c r="H55" s="10" t="n">
        <x:v>42.580011193564</x:v>
      </x:c>
      <x:c r="I55" s="15" t="b">
        <x:v>0</x:v>
      </x:c>
    </x:row>
    <x:row r="56">
      <x:c r="A56" s="10" t="str">
        <x:v>LOC126272724</x:v>
      </x:c>
      <x:c r="B56" s="10" t="str">
        <x:v>pyrimidodiazepine synthase-like</x:v>
      </x:c>
      <x:c r="C56" s="10" t="str">
        <x:v>protein_coding</x:v>
      </x:c>
      <x:c r="D56" s="10" t="str">
        <x:v>Detoxification / stress</x:v>
      </x:c>
      <x:c r="E56" s="10" t="str">
        <x:v>infection_average_all_diets; infection_diet33; infection_diet50; infection_diet83</x:v>
      </x:c>
      <x:c r="F56" s="10" t="n">
        <x:v>2.32328808681557</x:v>
      </x:c>
      <x:c r="G56" s="10" t="n">
        <x:v>8.29942996069438e-11</x:v>
      </x:c>
      <x:c r="H56" s="10" t="n">
        <x:v>330.81537254274</x:v>
      </x:c>
      <x:c r="I56" s="15" t="b">
        <x:v>0</x:v>
      </x:c>
    </x:row>
    <x:row r="57">
      <x:c r="A57" s="10" t="str">
        <x:v>LOC126272837</x:v>
      </x:c>
      <x:c r="B57" s="10" t="str">
        <x:v>cytochrome P450 6k1-like</x:v>
      </x:c>
      <x:c r="C57" s="10" t="str">
        <x:v>protein_coding</x:v>
      </x:c>
      <x:c r="D57" s="10" t="str">
        <x:v>Detoxification / stress</x:v>
      </x:c>
      <x:c r="E57" s="10" t="str">
        <x:v>infected_diet33_vs50; infected_diet83_vs33; infection_diet33</x:v>
      </x:c>
      <x:c r="F57" s="10" t="n">
        <x:v>4.31665512163162</x:v>
      </x:c>
      <x:c r="G57" s="10" t="n">
        <x:v>0.0027165207178674</x:v>
      </x:c>
      <x:c r="H57" s="10" t="n">
        <x:v>11.9194230824368</x:v>
      </x:c>
      <x:c r="I57" s="15" t="b">
        <x:v>0</x:v>
      </x:c>
    </x:row>
    <x:row r="58">
      <x:c r="A58" s="10" t="str">
        <x:v>LOC126272888</x:v>
      </x:c>
      <x:c r="B58" s="10" t="str">
        <x:v>uncharacterized LOC126272888</x:v>
      </x:c>
      <x:c r="C58" s="10" t="str">
        <x:v>protein_coding</x:v>
      </x:c>
      <x:c r="D58" s="10" t="str">
        <x:v>Detoxification / stress</x:v>
      </x:c>
      <x:c r="E58" s="10" t="str">
        <x:v>infection_average_all_diets; infection_diet83</x:v>
      </x:c>
      <x:c r="F58" s="10" t="n">
        <x:v>2.80380331199303</x:v>
      </x:c>
      <x:c r="G58" s="10" t="n">
        <x:v>0.0000434414312196504</x:v>
      </x:c>
      <x:c r="H58" s="10" t="n">
        <x:v>235.763730463062</x:v>
      </x:c>
      <x:c r="I58" s="15" t="b">
        <x:v>0</x:v>
      </x:c>
    </x:row>
    <x:row r="59">
      <x:c r="A59" s="10" t="str">
        <x:v>LOC126272899</x:v>
      </x:c>
      <x:c r="B59" s="10" t="str">
        <x:v>cytochrome P450 6k1-like</x:v>
      </x:c>
      <x:c r="C59" s="10" t="str">
        <x:v>protein_coding</x:v>
      </x:c>
      <x:c r="D59" s="10" t="str">
        <x:v>Detoxification / stress</x:v>
      </x:c>
      <x:c r="E59" s="10" t="str">
        <x:v>infection_average_all_diets; infection_diet50; infection_diet83</x:v>
      </x:c>
      <x:c r="F59" s="10" t="n">
        <x:v>1.38998133167319</x:v>
      </x:c>
      <x:c r="G59" s="10" t="n">
        <x:v>0.0000188763104367859</x:v>
      </x:c>
      <x:c r="H59" s="10" t="n">
        <x:v>107.077836648403</x:v>
      </x:c>
      <x:c r="I59" s="15" t="b">
        <x:v>0</x:v>
      </x:c>
    </x:row>
    <x:row r="60">
      <x:c r="A60" s="10" t="str">
        <x:v>LOC126272939</x:v>
      </x:c>
      <x:c r="B60" s="10" t="str">
        <x:v>cytochrome P450 4V2-like</x:v>
      </x:c>
      <x:c r="C60" s="10" t="str">
        <x:v>protein_coding</x:v>
      </x:c>
      <x:c r="D60" s="10" t="str">
        <x:v>Detoxification / stress</x:v>
      </x:c>
      <x:c r="E60" s="10" t="str">
        <x:v>infection_diet50</x:v>
      </x:c>
      <x:c r="F60" s="10" t="n">
        <x:v>1.14160031106908</x:v>
      </x:c>
      <x:c r="G60" s="10" t="n">
        <x:v>0.0372819936634138</x:v>
      </x:c>
      <x:c r="H60" s="10" t="n">
        <x:v>21.440179834605</x:v>
      </x:c>
      <x:c r="I60" s="15" t="b">
        <x:v>0</x:v>
      </x:c>
    </x:row>
    <x:row r="61">
      <x:c r="A61" s="10" t="str">
        <x:v>LOC126273058</x:v>
      </x:c>
      <x:c r="B61" s="10" t="str">
        <x:v>cytochrome P450 6k1-like</x:v>
      </x:c>
      <x:c r="C61" s="10" t="str">
        <x:v>protein_coding</x:v>
      </x:c>
      <x:c r="D61" s="10" t="str">
        <x:v>Detoxification / stress</x:v>
      </x:c>
      <x:c r="E61" s="10" t="str">
        <x:v>infected_diet33_vs50</x:v>
      </x:c>
      <x:c r="F61" s="10" t="n">
        <x:v>1.83760341508517</x:v>
      </x:c>
      <x:c r="G61" s="10" t="n">
        <x:v>0.047820245176516</x:v>
      </x:c>
      <x:c r="H61" s="10" t="n">
        <x:v>14.2173738591768</x:v>
      </x:c>
      <x:c r="I61" s="15" t="b">
        <x:v>0</x:v>
      </x:c>
    </x:row>
    <x:row r="62">
      <x:c r="A62" s="10" t="str">
        <x:v>LOC126273085</x:v>
      </x:c>
      <x:c r="B62" s="10" t="str">
        <x:v>probable cytochrome P450 6a13</x:v>
      </x:c>
      <x:c r="C62" s="10" t="str">
        <x:v>protein_coding</x:v>
      </x:c>
      <x:c r="D62" s="10" t="str">
        <x:v>Detoxification / stress</x:v>
      </x:c>
      <x:c r="E62" s="10" t="str">
        <x:v>infection_average_all_diets</x:v>
      </x:c>
      <x:c r="F62" s="10" t="n">
        <x:v>1.00053747415465</x:v>
      </x:c>
      <x:c r="G62" s="10" t="n">
        <x:v>0.0341855295512569</x:v>
      </x:c>
      <x:c r="H62" s="10" t="n">
        <x:v>5.37229160249342</x:v>
      </x:c>
      <x:c r="I62" s="15" t="b">
        <x:v>0</x:v>
      </x:c>
    </x:row>
    <x:row r="63">
      <x:c r="A63" s="10" t="str">
        <x:v>LOC126273349</x:v>
      </x:c>
      <x:c r="B63" s="10" t="str">
        <x:v>cytochrome P450 6k1-like</x:v>
      </x:c>
      <x:c r="C63" s="10" t="str">
        <x:v>protein_coding</x:v>
      </x:c>
      <x:c r="D63" s="10" t="str">
        <x:v>Detoxification / stress</x:v>
      </x:c>
      <x:c r="E63" s="10" t="str">
        <x:v>infection_average_all_diets</x:v>
      </x:c>
      <x:c r="F63" s="10" t="n">
        <x:v>2.99563802027732</x:v>
      </x:c>
      <x:c r="G63" s="10" t="n">
        <x:v>0.000979476437852</x:v>
      </x:c>
      <x:c r="H63" s="10" t="n">
        <x:v>1.94676657411883</x:v>
      </x:c>
      <x:c r="I63" s="15" t="b">
        <x:v>0</x:v>
      </x:c>
    </x:row>
    <x:row r="64">
      <x:c r="A64" s="10" t="str">
        <x:v>LOC126274609</x:v>
      </x:c>
      <x:c r="B64" s="10" t="str">
        <x:v>superoxide dismutase [Cu-Zn]-like</x:v>
      </x:c>
      <x:c r="C64" s="10" t="str">
        <x:v>protein_coding</x:v>
      </x:c>
      <x:c r="D64" s="10" t="str">
        <x:v>Detoxification / stress</x:v>
      </x:c>
      <x:c r="E64" s="10" t="str">
        <x:v>infected_diet83_vs33; infection_diet83</x:v>
      </x:c>
      <x:c r="F64" s="10" t="n">
        <x:v>1.91054628974529</x:v>
      </x:c>
      <x:c r="G64" s="10" t="n">
        <x:v>0.0057336529372955</x:v>
      </x:c>
      <x:c r="H64" s="10" t="n">
        <x:v>53.9976478228983</x:v>
      </x:c>
      <x:c r="I64" s="15" t="b">
        <x:v>0</x:v>
      </x:c>
    </x:row>
    <x:row r="65">
      <x:c r="A65" s="10" t="str">
        <x:v>LOC126276533</x:v>
      </x:c>
      <x:c r="B65" s="10" t="str">
        <x:v>catalase</x:v>
      </x:c>
      <x:c r="C65" s="10" t="str">
        <x:v>protein_coding</x:v>
      </x:c>
      <x:c r="D65" s="10" t="str">
        <x:v>Detoxification / stress</x:v>
      </x:c>
      <x:c r="E65" s="10" t="str">
        <x:v>infection_diet83</x:v>
      </x:c>
      <x:c r="F65" s="10" t="n">
        <x:v>1.1894721915927</x:v>
      </x:c>
      <x:c r="G65" s="10" t="n">
        <x:v>0.0283203062662574</x:v>
      </x:c>
      <x:c r="H65" s="10" t="n">
        <x:v>2867.6810851953</x:v>
      </x:c>
      <x:c r="I65" s="15" t="b">
        <x:v>0</x:v>
      </x:c>
    </x:row>
    <x:row r="66">
      <x:c r="A66" s="10" t="str">
        <x:v>LOC126278041</x:v>
      </x:c>
      <x:c r="B66" s="10" t="str">
        <x:v>cholinesterase 2-like</x:v>
      </x:c>
      <x:c r="C66" s="10" t="str">
        <x:v>protein_coding</x:v>
      </x:c>
      <x:c r="D66" s="10" t="str">
        <x:v>Detoxification / stress</x:v>
      </x:c>
      <x:c r="E66" s="10" t="str">
        <x:v>infection_diet50</x:v>
      </x:c>
      <x:c r="F66" s="10" t="n">
        <x:v>1.43832171010791</x:v>
      </x:c>
      <x:c r="G66" s="10" t="n">
        <x:v>0.0147164174111612</x:v>
      </x:c>
      <x:c r="H66" s="10" t="n">
        <x:v>27.0714293326901</x:v>
      </x:c>
      <x:c r="I66" s="15" t="b">
        <x:v>0</x:v>
      </x:c>
    </x:row>
    <x:row r="67">
      <x:c r="A67" s="10" t="str">
        <x:v>LOC126278347</x:v>
      </x:c>
      <x:c r="B67" s="10" t="str">
        <x:v>oxidative stress-induced growth inhibitor 1-like</x:v>
      </x:c>
      <x:c r="C67" s="10" t="str">
        <x:v>protein_coding</x:v>
      </x:c>
      <x:c r="D67" s="10" t="str">
        <x:v>Detoxification / stress</x:v>
      </x:c>
      <x:c r="E67" s="10" t="str">
        <x:v>infection_diet50</x:v>
      </x:c>
      <x:c r="F67" s="10" t="n">
        <x:v>1.095561433298</x:v>
      </x:c>
      <x:c r="G67" s="10" t="n">
        <x:v>0.029545705839322</x:v>
      </x:c>
      <x:c r="H67" s="10" t="n">
        <x:v>623.859502412463</x:v>
      </x:c>
      <x:c r="I67" s="15" t="b">
        <x:v>0</x:v>
      </x:c>
    </x:row>
    <x:row r="68">
      <x:c r="A68" s="10" t="str">
        <x:v>LOC126278867</x:v>
      </x:c>
      <x:c r="B68" s="10" t="str">
        <x:v>cytochrome P450 4c3</x:v>
      </x:c>
      <x:c r="C68" s="10" t="str">
        <x:v>protein_coding</x:v>
      </x:c>
      <x:c r="D68" s="10" t="str">
        <x:v>Detoxification / stress</x:v>
      </x:c>
      <x:c r="E68" s="10" t="str">
        <x:v>infection_diet50</x:v>
      </x:c>
      <x:c r="F68" s="10" t="n">
        <x:v>1.36826907908158</x:v>
      </x:c>
      <x:c r="G68" s="10" t="n">
        <x:v>0.0001987100590687</x:v>
      </x:c>
      <x:c r="H68" s="10" t="n">
        <x:v>41.2426669443622</x:v>
      </x:c>
      <x:c r="I68" s="15" t="b">
        <x:v>0</x:v>
      </x:c>
    </x:row>
    <x:row r="69">
      <x:c r="A69" s="10" t="str">
        <x:v>LOC126279091</x:v>
      </x:c>
      <x:c r="B69" s="10" t="str">
        <x:v>cholinesterase 1-like</x:v>
      </x:c>
      <x:c r="C69" s="10" t="str">
        <x:v>protein_coding</x:v>
      </x:c>
      <x:c r="D69" s="10" t="str">
        <x:v>Detoxification / stress</x:v>
      </x:c>
      <x:c r="E69" s="10" t="str">
        <x:v>infection_diet33</x:v>
      </x:c>
      <x:c r="F69" s="10" t="n">
        <x:v>1.16243979940706</x:v>
      </x:c>
      <x:c r="G69" s="10" t="n">
        <x:v>0.0136901829385184</x:v>
      </x:c>
      <x:c r="H69" s="10" t="n">
        <x:v>465.21607380639</x:v>
      </x:c>
      <x:c r="I69" s="15" t="b">
        <x:v>0</x:v>
      </x:c>
    </x:row>
    <x:row r="70">
      <x:c r="A70" s="10" t="str">
        <x:v>LOC126281171</x:v>
      </x:c>
      <x:c r="B70" s="10" t="str">
        <x:v>heat shock protein Hsp-12.2</x:v>
      </x:c>
      <x:c r="C70" s="10" t="str">
        <x:v>protein_coding</x:v>
      </x:c>
      <x:c r="D70" s="10" t="str">
        <x:v>Detoxification / stress</x:v>
      </x:c>
      <x:c r="E70" s="10" t="str">
        <x:v>infection_diet83</x:v>
      </x:c>
      <x:c r="F70" s="10" t="n">
        <x:v>1.14065007126085</x:v>
      </x:c>
      <x:c r="G70" s="10" t="n">
        <x:v>0.0118679755590019</x:v>
      </x:c>
      <x:c r="H70" s="10" t="n">
        <x:v>1611.99732687808</x:v>
      </x:c>
      <x:c r="I70" s="15" t="b">
        <x:v>0</x:v>
      </x:c>
    </x:row>
    <x:row r="71">
      <x:c r="A71" s="10" t="str">
        <x:v>LOC126281357</x:v>
      </x:c>
      <x:c r="B71" s="10" t="str">
        <x:v>cytochrome P450 4C1-like</x:v>
      </x:c>
      <x:c r="C71" s="10" t="str">
        <x:v>protein_coding</x:v>
      </x:c>
      <x:c r="D71" s="10" t="str">
        <x:v>Detoxification / stress</x:v>
      </x:c>
      <x:c r="E71" s="10" t="str">
        <x:v>infection_average_all_diets; infection_diet50</x:v>
      </x:c>
      <x:c r="F71" s="10" t="n">
        <x:v>3.7228792641232</x:v>
      </x:c>
      <x:c r="G71" s="10" t="n">
        <x:v>0.0004142955107693</x:v>
      </x:c>
      <x:c r="H71" s="10" t="n">
        <x:v>18.714135682191</x:v>
      </x:c>
      <x:c r="I71" s="15" t="b">
        <x:v>0</x:v>
      </x:c>
    </x:row>
    <x:row r="72">
      <x:c r="A72" s="10" t="str">
        <x:v>LOC126281382</x:v>
      </x:c>
      <x:c r="B72" s="10" t="str">
        <x:v>probable cytochrome P450 6a20</x:v>
      </x:c>
      <x:c r="C72" s="10" t="str">
        <x:v>protein_coding</x:v>
      </x:c>
      <x:c r="D72" s="10" t="str">
        <x:v>Detoxification / stress</x:v>
      </x:c>
      <x:c r="E72" s="10" t="str">
        <x:v>infected_diet33_vs50; infection_diet50</x:v>
      </x:c>
      <x:c r="F72" s="10" t="n">
        <x:v>3.09779516499383</x:v>
      </x:c>
      <x:c r="G72" s="10" t="n">
        <x:v>0.0146755252828374</x:v>
      </x:c>
      <x:c r="H72" s="10" t="n">
        <x:v>13.4974061307585</x:v>
      </x:c>
      <x:c r="I72" s="15" t="b">
        <x:v>0</x:v>
      </x:c>
    </x:row>
    <x:row r="73">
      <x:c r="A73" s="10" t="str">
        <x:v>LOC126281383</x:v>
      </x:c>
      <x:c r="B73" s="10" t="str">
        <x:v>cytochrome P450 6j1-like</x:v>
      </x:c>
      <x:c r="C73" s="10" t="str">
        <x:v>protein_coding</x:v>
      </x:c>
      <x:c r="D73" s="10" t="str">
        <x:v>Detoxification / stress</x:v>
      </x:c>
      <x:c r="E73" s="10" t="str">
        <x:v>infection_diet50</x:v>
      </x:c>
      <x:c r="F73" s="10" t="n">
        <x:v>2.42199020281189</x:v>
      </x:c>
      <x:c r="G73" s="10" t="n">
        <x:v>0.0344939467923203</x:v>
      </x:c>
      <x:c r="H73" s="10" t="n">
        <x:v>8.4641800017881</x:v>
      </x:c>
      <x:c r="I73" s="15" t="b">
        <x:v>0</x:v>
      </x:c>
    </x:row>
    <x:row r="74">
      <x:c r="A74" s="10" t="str">
        <x:v>LOC126281385</x:v>
      </x:c>
      <x:c r="B74" s="10" t="str">
        <x:v>cytochrome P450 6j1-like</x:v>
      </x:c>
      <x:c r="C74" s="10" t="str">
        <x:v>protein_coding</x:v>
      </x:c>
      <x:c r="D74" s="10" t="str">
        <x:v>Detoxification / stress</x:v>
      </x:c>
      <x:c r="E74" s="10" t="str">
        <x:v>infected_diet33_vs50; infection_diet50</x:v>
      </x:c>
      <x:c r="F74" s="10" t="n">
        <x:v>4.31728608367654</x:v>
      </x:c>
      <x:c r="G74" s="10" t="n">
        <x:v>0.0000798871312393842</x:v>
      </x:c>
      <x:c r="H74" s="10" t="n">
        <x:v>27.558146727088</x:v>
      </x:c>
      <x:c r="I74" s="15" t="b">
        <x:v>1</x:v>
      </x:c>
    </x:row>
    <x:row r="75">
      <x:c r="A75" s="10" t="str">
        <x:v>LOC126281399</x:v>
      </x:c>
      <x:c r="B75" s="10" t="str">
        <x:v>sorbitol dehydrogenase-like</x:v>
      </x:c>
      <x:c r="C75" s="10" t="str">
        <x:v>protein_coding</x:v>
      </x:c>
      <x:c r="D75" s="10" t="str">
        <x:v>Detoxification / stress</x:v>
      </x:c>
      <x:c r="E75" s="10" t="str">
        <x:v>infection_average_all_diets; infection_diet50</x:v>
      </x:c>
      <x:c r="F75" s="10" t="n">
        <x:v>1.50527358466281</x:v>
      </x:c>
      <x:c r="G75" s="10" t="n">
        <x:v>0.0000943735933722945</x:v>
      </x:c>
      <x:c r="H75" s="10" t="n">
        <x:v>3473.33138508891</x:v>
      </x:c>
      <x:c r="I75" s="15" t="b">
        <x:v>0</x:v>
      </x:c>
    </x:row>
    <x:row r="76">
      <x:c r="A76" s="10" t="str">
        <x:v>LOC126281404</x:v>
      </x:c>
      <x:c r="B76" s="10" t="str">
        <x:v>glutathione S-transferase D7-like</x:v>
      </x:c>
      <x:c r="C76" s="10" t="str">
        <x:v>protein_coding</x:v>
      </x:c>
      <x:c r="D76" s="10" t="str">
        <x:v>Detoxification / stress</x:v>
      </x:c>
      <x:c r="E76" s="10" t="str">
        <x:v>infection_average_all_diets; infection_diet50</x:v>
      </x:c>
      <x:c r="F76" s="10" t="n">
        <x:v>1.87992188310513</x:v>
      </x:c>
      <x:c r="G76" s="10" t="n">
        <x:v>0.0005569358336763</x:v>
      </x:c>
      <x:c r="H76" s="10" t="n">
        <x:v>503.934477055075</x:v>
      </x:c>
      <x:c r="I76" s="15" t="b">
        <x:v>0</x:v>
      </x:c>
    </x:row>
    <x:row r="77">
      <x:c r="A77" s="10" t="str">
        <x:v>LOC126281410</x:v>
      </x:c>
      <x:c r="B77" s="10" t="str">
        <x:v>glutathione S-transferase D7-like</x:v>
      </x:c>
      <x:c r="C77" s="10" t="str">
        <x:v>protein_coding</x:v>
      </x:c>
      <x:c r="D77" s="10" t="str">
        <x:v>Detoxification / stress</x:v>
      </x:c>
      <x:c r="E77" s="10" t="str">
        <x:v>infected_diet33_vs50; infection_average_all_diets; infection_diet33; infection_diet50; infection_diet83</x:v>
      </x:c>
      <x:c r="F77" s="10" t="n">
        <x:v>4.73254700399449</x:v>
      </x:c>
      <x:c r="G77" s="10" t="n">
        <x:v>1.90135836032489e-20</x:v>
      </x:c>
      <x:c r="H77" s="10" t="n">
        <x:v>372.517571930517</x:v>
      </x:c>
      <x:c r="I77" s="15" t="b">
        <x:v>0</x:v>
      </x:c>
    </x:row>
    <x:row r="78">
      <x:c r="A78" s="10" t="str">
        <x:v>LOC126281438</x:v>
      </x:c>
      <x:c r="B78" s="10" t="str">
        <x:v>sorbitol dehydrogenase-like</x:v>
      </x:c>
      <x:c r="C78" s="10" t="str">
        <x:v>protein_coding</x:v>
      </x:c>
      <x:c r="D78" s="10" t="str">
        <x:v>Detoxification / stress</x:v>
      </x:c>
      <x:c r="E78" s="10" t="str">
        <x:v>infection_diet50</x:v>
      </x:c>
      <x:c r="F78" s="10" t="n">
        <x:v>2.4009587138161</x:v>
      </x:c>
      <x:c r="G78" s="10" t="n">
        <x:v>0.0468369172685988</x:v>
      </x:c>
      <x:c r="H78" s="10" t="n">
        <x:v>32.0152394789209</x:v>
      </x:c>
      <x:c r="I78" s="15" t="b">
        <x:v>0</x:v>
      </x:c>
    </x:row>
    <x:row r="79">
      <x:c r="A79" s="10" t="str">
        <x:v>LOC126281446</x:v>
      </x:c>
      <x:c r="B79" s="10" t="str">
        <x:v>aldehyde dehydrogenase, mitochondrial</x:v>
      </x:c>
      <x:c r="C79" s="10" t="str">
        <x:v>protein_coding</x:v>
      </x:c>
      <x:c r="D79" s="10" t="str">
        <x:v>Detoxification / stress</x:v>
      </x:c>
      <x:c r="E79" s="10" t="str">
        <x:v>infection_average_all_diets; infection_diet33; infection_diet50; infection_diet83</x:v>
      </x:c>
      <x:c r="F79" s="10" t="n">
        <x:v>1.29810323682595</x:v>
      </x:c>
      <x:c r="G79" s="10" t="n">
        <x:v>2.88606798651162e-7</x:v>
      </x:c>
      <x:c r="H79" s="10" t="n">
        <x:v>1295.68576773044</x:v>
      </x:c>
      <x:c r="I79" s="15" t="b">
        <x:v>0</x:v>
      </x:c>
    </x:row>
    <x:row r="80">
      <x:c r="A80" s="10" t="str">
        <x:v>LOC126281508</x:v>
      </x:c>
      <x:c r="B80" s="10" t="str">
        <x:v>probable cytochrome P450 6a13</x:v>
      </x:c>
      <x:c r="C80" s="10" t="str">
        <x:v>protein_coding</x:v>
      </x:c>
      <x:c r="D80" s="10" t="str">
        <x:v>Detoxification / stress</x:v>
      </x:c>
      <x:c r="E80" s="10" t="str">
        <x:v>infected_diet33_vs50; infection_diet50</x:v>
      </x:c>
      <x:c r="F80" s="10" t="n">
        <x:v>2.95199281499626</x:v>
      </x:c>
      <x:c r="G80" s="10" t="n">
        <x:v>0.0015310917609611</x:v>
      </x:c>
      <x:c r="H80" s="10" t="n">
        <x:v>39.324512222801</x:v>
      </x:c>
      <x:c r="I80" s="15" t="b">
        <x:v>0</x:v>
      </x:c>
    </x:row>
    <x:row r="81">
      <x:c r="A81" s="10" t="str">
        <x:v>LOC126281672</x:v>
      </x:c>
      <x:c r="B81" s="10" t="str">
        <x:v>D-aspartate oxidase</x:v>
      </x:c>
      <x:c r="C81" s="10" t="str">
        <x:v>protein_coding</x:v>
      </x:c>
      <x:c r="D81" s="10" t="str">
        <x:v>Detoxification / stress</x:v>
      </x:c>
      <x:c r="E81" s="10" t="str">
        <x:v>infection_average_all_diets; infection_diet33; infection_diet50</x:v>
      </x:c>
      <x:c r="F81" s="10" t="n">
        <x:v>1.5388559155445</x:v>
      </x:c>
      <x:c r="G81" s="10" t="n">
        <x:v>0.000210642550616</x:v>
      </x:c>
      <x:c r="H81" s="10" t="n">
        <x:v>146.91507280358</x:v>
      </x:c>
      <x:c r="I81" s="15" t="b">
        <x:v>0</x:v>
      </x:c>
    </x:row>
    <x:row r="82">
      <x:c r="A82" s="10" t="str">
        <x:v>LOC126281694</x:v>
      </x:c>
      <x:c r="B82" s="10" t="str">
        <x:v>trans-1,2-dihydrobenzene-1,2-diol dehydrogenase-like</x:v>
      </x:c>
      <x:c r="C82" s="10" t="str">
        <x:v>protein_coding</x:v>
      </x:c>
      <x:c r="D82" s="10" t="str">
        <x:v>Detoxification / stress</x:v>
      </x:c>
      <x:c r="E82" s="10" t="str">
        <x:v>infection_average_all_diets; infection_diet33; infection_diet50; infection_diet83</x:v>
      </x:c>
      <x:c r="F82" s="10" t="n">
        <x:v>2.07265911814526</x:v>
      </x:c>
      <x:c r="G82" s="10" t="n">
        <x:v>3.55290157496541e-8</x:v>
      </x:c>
      <x:c r="H82" s="10" t="n">
        <x:v>876.97439077641</x:v>
      </x:c>
      <x:c r="I82" s="15" t="b">
        <x:v>0</x:v>
      </x:c>
    </x:row>
    <x:row r="83">
      <x:c r="A83" s="10" t="str">
        <x:v>LOC126281857</x:v>
      </x:c>
      <x:c r="B83" s="10" t="str">
        <x:v>probable cytochrome P450 6a14</x:v>
      </x:c>
      <x:c r="C83" s="10" t="str">
        <x:v>protein_coding</x:v>
      </x:c>
      <x:c r="D83" s="10" t="str">
        <x:v>Detoxification / stress</x:v>
      </x:c>
      <x:c r="E83" s="10" t="str">
        <x:v>infection_average_all_diets; infection_diet33; infection_diet50</x:v>
      </x:c>
      <x:c r="F83" s="10" t="n">
        <x:v>2.24618642438047</x:v>
      </x:c>
      <x:c r="G83" s="10" t="n">
        <x:v>1.18287916243499e-7</x:v>
      </x:c>
      <x:c r="H83" s="10" t="n">
        <x:v>25.328004552072</x:v>
      </x:c>
      <x:c r="I83" s="15" t="b">
        <x:v>0</x:v>
      </x:c>
    </x:row>
    <x:row r="84">
      <x:c r="A84" s="10" t="str">
        <x:v>LOC126281928</x:v>
      </x:c>
      <x:c r="B84" s="10" t="str">
        <x:v>dual oxidase-like</x:v>
      </x:c>
      <x:c r="C84" s="10" t="str">
        <x:v>protein_coding</x:v>
      </x:c>
      <x:c r="D84" s="10" t="str">
        <x:v>Detoxification / stress</x:v>
      </x:c>
      <x:c r="E84" s="10" t="str">
        <x:v>infection_average_all_diets</x:v>
      </x:c>
      <x:c r="F84" s="10" t="n">
        <x:v>1.05911262254569</x:v>
      </x:c>
      <x:c r="G84" s="10" t="n">
        <x:v>0.0017125012666758</x:v>
      </x:c>
      <x:c r="H84" s="10" t="n">
        <x:v>368.28516769839</x:v>
      </x:c>
      <x:c r="I84" s="15" t="b">
        <x:v>0</x:v>
      </x:c>
    </x:row>
    <x:row r="85">
      <x:c r="A85" s="10" t="str">
        <x:v>LOC126281935</x:v>
      </x:c>
      <x:c r="B85" s="10" t="str">
        <x:v>cytochrome P450 6a2-like</x:v>
      </x:c>
      <x:c r="C85" s="10" t="str">
        <x:v>protein_coding</x:v>
      </x:c>
      <x:c r="D85" s="10" t="str">
        <x:v>Detoxification / stress</x:v>
      </x:c>
      <x:c r="E85" s="10" t="str">
        <x:v>infection_average_all_diets; infection_diet83</x:v>
      </x:c>
      <x:c r="F85" s="10" t="n">
        <x:v>1.98784312346998</x:v>
      </x:c>
      <x:c r="G85" s="10" t="n">
        <x:v>0.0003549977123926</x:v>
      </x:c>
      <x:c r="H85" s="10" t="n">
        <x:v>409.684933239762</x:v>
      </x:c>
      <x:c r="I85" s="15" t="b">
        <x:v>0</x:v>
      </x:c>
    </x:row>
    <x:row r="86">
      <x:c r="A86" s="10" t="str">
        <x:v>LOC126281975</x:v>
      </x:c>
      <x:c r="B86" s="10" t="str">
        <x:v>sorbitol dehydrogenase-like</x:v>
      </x:c>
      <x:c r="C86" s="10" t="str">
        <x:v>protein_coding</x:v>
      </x:c>
      <x:c r="D86" s="10" t="str">
        <x:v>Detoxification / stress</x:v>
      </x:c>
      <x:c r="E86" s="10" t="str">
        <x:v>control_diet33_vs50</x:v>
      </x:c>
      <x:c r="F86" s="10" t="n">
        <x:v>3.11472431904379</x:v>
      </x:c>
      <x:c r="G86" s="10" t="n">
        <x:v>0.0466337460055399</x:v>
      </x:c>
      <x:c r="H86" s="10" t="n">
        <x:v>15.8731076017395</x:v>
      </x:c>
      <x:c r="I86" s="15" t="b">
        <x:v>0</x:v>
      </x:c>
    </x:row>
    <x:row r="87">
      <x:c r="A87" s="10" t="str">
        <x:v>LOC126282043</x:v>
      </x:c>
      <x:c r="B87" s="10" t="str">
        <x:v>aldehyde dehydrogenase, mitochondrial-like</x:v>
      </x:c>
      <x:c r="C87" s="10" t="str">
        <x:v>protein_coding</x:v>
      </x:c>
      <x:c r="D87" s="10" t="str">
        <x:v>Detoxification / stress</x:v>
      </x:c>
      <x:c r="E87" s="10" t="str">
        <x:v>infection_average_all_diets; infection_diet33; infection_diet50</x:v>
      </x:c>
      <x:c r="F87" s="10" t="n">
        <x:v>2.45457268556134</x:v>
      </x:c>
      <x:c r="G87" s="10" t="n">
        <x:v>4.45549556237548e-7</x:v>
      </x:c>
      <x:c r="H87" s="10" t="n">
        <x:v>180.190061138055</x:v>
      </x:c>
      <x:c r="I87" s="15" t="b">
        <x:v>0</x:v>
      </x:c>
    </x:row>
    <x:row r="88">
      <x:c r="A88" s="10" t="str">
        <x:v>LOC126282101</x:v>
      </x:c>
      <x:c r="B88" s="10" t="str">
        <x:v>cytochrome P450 6a2-like</x:v>
      </x:c>
      <x:c r="C88" s="10" t="str">
        <x:v>protein_coding</x:v>
      </x:c>
      <x:c r="D88" s="10" t="str">
        <x:v>Detoxification / stress</x:v>
      </x:c>
      <x:c r="E88" s="10" t="str">
        <x:v>infection_average_all_diets</x:v>
      </x:c>
      <x:c r="F88" s="10" t="n">
        <x:v>1.08705447717934</x:v>
      </x:c>
      <x:c r="G88" s="10" t="n">
        <x:v>0.0161839200443372</x:v>
      </x:c>
      <x:c r="H88" s="10" t="n">
        <x:v>29.4023410716426</x:v>
      </x:c>
      <x:c r="I88" s="15" t="b">
        <x:v>0</x:v>
      </x:c>
    </x:row>
    <x:row r="89">
      <x:c r="A89" s="10" t="str">
        <x:v>LOC126282119</x:v>
      </x:c>
      <x:c r="B89" s="10" t="str">
        <x:v>cytochrome P450 4C1-like</x:v>
      </x:c>
      <x:c r="C89" s="10" t="str">
        <x:v>protein_coding</x:v>
      </x:c>
      <x:c r="D89" s="10" t="str">
        <x:v>Detoxification / stress</x:v>
      </x:c>
      <x:c r="E89" s="10" t="str">
        <x:v>infection_average_all_diets; infection_diet50; infection_diet83</x:v>
      </x:c>
      <x:c r="F89" s="10" t="n">
        <x:v>2.20275859274202</x:v>
      </x:c>
      <x:c r="G89" s="10" t="n">
        <x:v>0.0009789828753315</x:v>
      </x:c>
      <x:c r="H89" s="10" t="n">
        <x:v>20.6704820300828</x:v>
      </x:c>
      <x:c r="I89" s="15" t="b">
        <x:v>0</x:v>
      </x:c>
    </x:row>
    <x:row r="90">
      <x:c r="A90" s="10" t="str">
        <x:v>LOC126282396</x:v>
      </x:c>
      <x:c r="B90" s="10" t="str">
        <x:v>uncharacterized LOC126282396</x:v>
      </x:c>
      <x:c r="C90" s="10" t="str">
        <x:v>protein_coding</x:v>
      </x:c>
      <x:c r="D90" s="10" t="str">
        <x:v>Detoxification / stress</x:v>
      </x:c>
      <x:c r="E90" s="10" t="str">
        <x:v>infection_average_all_diets; infection_diet33; infection_diet50; infection_diet83</x:v>
      </x:c>
      <x:c r="F90" s="10" t="n">
        <x:v>2.62685952772104</x:v>
      </x:c>
      <x:c r="G90" s="10" t="n">
        <x:v>4.2306967114674e-7</x:v>
      </x:c>
      <x:c r="H90" s="10" t="n">
        <x:v>62.817456636617</x:v>
      </x:c>
      <x:c r="I90" s="15" t="b">
        <x:v>0</x:v>
      </x:c>
    </x:row>
    <x:row r="91">
      <x:c r="A91" s="10" t="str">
        <x:v>LOC126282422</x:v>
      </x:c>
      <x:c r="B91" s="10" t="str">
        <x:v>glutathione S-transferase-like</x:v>
      </x:c>
      <x:c r="C91" s="10" t="str">
        <x:v>protein_coding</x:v>
      </x:c>
      <x:c r="D91" s="10" t="str">
        <x:v>Detoxification / stress</x:v>
      </x:c>
      <x:c r="E91" s="10" t="str">
        <x:v>infection_diet50</x:v>
      </x:c>
      <x:c r="F91" s="10" t="n">
        <x:v>1.24898963741457</x:v>
      </x:c>
      <x:c r="G91" s="10" t="n">
        <x:v>0.0260980216754747</x:v>
      </x:c>
      <x:c r="H91" s="10" t="n">
        <x:v>24.0033881357899</x:v>
      </x:c>
      <x:c r="I91" s="15" t="b">
        <x:v>0</x:v>
      </x:c>
    </x:row>
    <x:row r="92">
      <x:c r="A92" s="10" t="str">
        <x:v>LOC126283788</x:v>
      </x:c>
      <x:c r="B92" s="10" t="str">
        <x:v>scoloptoxin SSD14-like</x:v>
      </x:c>
      <x:c r="C92" s="10" t="str">
        <x:v>protein_coding</x:v>
      </x:c>
      <x:c r="D92" s="10" t="str">
        <x:v>Detoxification / stress</x:v>
      </x:c>
      <x:c r="E92" s="10" t="str">
        <x:v>infection_diet50</x:v>
      </x:c>
      <x:c r="F92" s="10" t="n">
        <x:v>1.15570878285822</x:v>
      </x:c>
      <x:c r="G92" s="10" t="n">
        <x:v>0.0276237436743493</x:v>
      </x:c>
      <x:c r="H92" s="10" t="n">
        <x:v>1879.019411739</x:v>
      </x:c>
      <x:c r="I92" s="15" t="b">
        <x:v>0</x:v>
      </x:c>
    </x:row>
    <x:row r="93">
      <x:c r="A93" s="10" t="str">
        <x:v>LOC126283971</x:v>
      </x:c>
      <x:c r="B93" s="10" t="str">
        <x:v>glucose dehydrogenase [FAD, quinone]-like</x:v>
      </x:c>
      <x:c r="C93" s="10" t="str">
        <x:v>protein_coding</x:v>
      </x:c>
      <x:c r="D93" s="10" t="str">
        <x:v>Detoxification / stress</x:v>
      </x:c>
      <x:c r="E93" s="10" t="str">
        <x:v>infected_diet83_vs50</x:v>
      </x:c>
      <x:c r="F93" s="10" t="n">
        <x:v>2.64161120101208</x:v>
      </x:c>
      <x:c r="G93" s="10" t="n">
        <x:v>0.0292467873922861</x:v>
      </x:c>
      <x:c r="H93" s="10" t="n">
        <x:v>47.7735630003748</x:v>
      </x:c>
      <x:c r="I93" s="15" t="b">
        <x:v>1</x:v>
      </x:c>
    </x:row>
    <x:row r="94">
      <x:c r="A94" s="10" t="str">
        <x:v>LOC126283972</x:v>
      </x:c>
      <x:c r="B94" s="10" t="str">
        <x:v>glucose dehydrogenase [FAD, quinone]-like</x:v>
      </x:c>
      <x:c r="C94" s="10" t="str">
        <x:v>protein_coding</x:v>
      </x:c>
      <x:c r="D94" s="10" t="str">
        <x:v>Detoxification / stress</x:v>
      </x:c>
      <x:c r="E94" s="10" t="str">
        <x:v>infection_average_all_diets; infection_diet33; infection_diet50</x:v>
      </x:c>
      <x:c r="F94" s="10" t="n">
        <x:v>2.97517358992489</x:v>
      </x:c>
      <x:c r="G94" s="10" t="n">
        <x:v>0.0000109067006800595</x:v>
      </x:c>
      <x:c r="H94" s="10" t="n">
        <x:v>47.67567199532</x:v>
      </x:c>
      <x:c r="I94" s="15" t="b">
        <x:v>0</x:v>
      </x:c>
    </x:row>
    <x:row r="95">
      <x:c r="A95" s="10" t="str">
        <x:v>LOC126283978</x:v>
      </x:c>
      <x:c r="B95" s="10" t="str">
        <x:v>glucose dehydrogenase [FAD, quinone]-like</x:v>
      </x:c>
      <x:c r="C95" s="10" t="str">
        <x:v>protein_coding</x:v>
      </x:c>
      <x:c r="D95" s="10" t="str">
        <x:v>Detoxification / stress</x:v>
      </x:c>
      <x:c r="E95" s="10" t="str">
        <x:v>infection_average_all_diets; infection_diet50; infection_diet83</x:v>
      </x:c>
      <x:c r="F95" s="10" t="n">
        <x:v>1.47990935638839</x:v>
      </x:c>
      <x:c r="G95" s="10" t="n">
        <x:v>0.0000052031927339253</x:v>
      </x:c>
      <x:c r="H95" s="10" t="n">
        <x:v>16.0642060978277</x:v>
      </x:c>
      <x:c r="I95" s="15" t="b">
        <x:v>0</x:v>
      </x:c>
    </x:row>
    <x:row r="96">
      <x:c r="A96" s="10" t="str">
        <x:v>LOC126284044</x:v>
      </x:c>
      <x:c r="B96" s="10" t="str">
        <x:v>cytochrome P450 6k1-like</x:v>
      </x:c>
      <x:c r="C96" s="10" t="str">
        <x:v>protein_coding</x:v>
      </x:c>
      <x:c r="D96" s="10" t="str">
        <x:v>Detoxification / stress</x:v>
      </x:c>
      <x:c r="E96" s="10" t="str">
        <x:v>infection_average_all_diets; infection_diet50</x:v>
      </x:c>
      <x:c r="F96" s="10" t="n">
        <x:v>2.89458424939127</x:v>
      </x:c>
      <x:c r="G96" s="10" t="n">
        <x:v>0.000402177053345</x:v>
      </x:c>
      <x:c r="H96" s="10" t="n">
        <x:v>8.16894247058118</x:v>
      </x:c>
      <x:c r="I96" s="15" t="b">
        <x:v>0</x:v>
      </x:c>
    </x:row>
    <x:row r="97">
      <x:c r="A97" s="10" t="str">
        <x:v>LOC126284552</x:v>
      </x:c>
      <x:c r="B97" s="10" t="str">
        <x:v>cytochrome P450 6j1-like</x:v>
      </x:c>
      <x:c r="C97" s="10" t="str">
        <x:v>protein_coding</x:v>
      </x:c>
      <x:c r="D97" s="10" t="str">
        <x:v>Detoxification / stress</x:v>
      </x:c>
      <x:c r="E97" s="10" t="str">
        <x:v>infection_average_all_diets; infection_diet83</x:v>
      </x:c>
      <x:c r="F97" s="10" t="n">
        <x:v>3.33637780086775</x:v>
      </x:c>
      <x:c r="G97" s="10" t="n">
        <x:v>0.0011184576441385</x:v>
      </x:c>
      <x:c r="H97" s="10" t="n">
        <x:v>86.9997304023701</x:v>
      </x:c>
      <x:c r="I97" s="15" t="b">
        <x:v>0</x:v>
      </x:c>
    </x:row>
    <x:row r="98">
      <x:c r="A98" s="10" t="str">
        <x:v>LOC126284639</x:v>
      </x:c>
      <x:c r="B98" s="10" t="str">
        <x:v>protein lethal(2)essential for life-like</x:v>
      </x:c>
      <x:c r="C98" s="10" t="str">
        <x:v>protein_coding</x:v>
      </x:c>
      <x:c r="D98" s="10" t="str">
        <x:v>Detoxification / stress</x:v>
      </x:c>
      <x:c r="E98" s="10" t="str">
        <x:v>infection_average_all_diets; infection_diet33; infection_diet50</x:v>
      </x:c>
      <x:c r="F98" s="10" t="n">
        <x:v>2.47068263646369</x:v>
      </x:c>
      <x:c r="G98" s="10" t="n">
        <x:v>0.0000136072946348037</x:v>
      </x:c>
      <x:c r="H98" s="10" t="n">
        <x:v>73.9612324684618</x:v>
      </x:c>
      <x:c r="I98" s="15" t="b">
        <x:v>0</x:v>
      </x:c>
    </x:row>
    <x:row r="99">
      <x:c r="A99" s="10" t="str">
        <x:v>LOC126284684</x:v>
      </x:c>
      <x:c r="B99" s="10" t="str">
        <x:v>cytochrome P450 6j1-like</x:v>
      </x:c>
      <x:c r="C99" s="10" t="str">
        <x:v>protein_coding</x:v>
      </x:c>
      <x:c r="D99" s="10" t="str">
        <x:v>Detoxification / stress</x:v>
      </x:c>
      <x:c r="E99" s="10" t="str">
        <x:v>infected_diet83_vs33</x:v>
      </x:c>
      <x:c r="F99" s="10" t="n">
        <x:v>5.11776999770336</x:v>
      </x:c>
      <x:c r="G99" s="10" t="n">
        <x:v>0.0133752339499627</x:v>
      </x:c>
      <x:c r="H99" s="10" t="n">
        <x:v>20.5718811271751</x:v>
      </x:c>
      <x:c r="I99" s="15" t="b">
        <x:v>1</x:v>
      </x:c>
    </x:row>
    <x:row r="100">
      <x:c r="A100" s="10" t="str">
        <x:v>LOC126284756</x:v>
      </x:c>
      <x:c r="B100" s="10" t="str">
        <x:v>glucose dehydrogenase [FAD, quinone]</x:v>
      </x:c>
      <x:c r="C100" s="10" t="str">
        <x:v>protein_coding</x:v>
      </x:c>
      <x:c r="D100" s="10" t="str">
        <x:v>Detoxification / stress</x:v>
      </x:c>
      <x:c r="E100" s="10" t="str">
        <x:v>infection_diet50</x:v>
      </x:c>
      <x:c r="F100" s="10" t="n">
        <x:v>1.52839917768543</x:v>
      </x:c>
      <x:c r="G100" s="10" t="n">
        <x:v>0.0128721086969641</x:v>
      </x:c>
      <x:c r="H100" s="10" t="n">
        <x:v>63.5783115121275</x:v>
      </x:c>
      <x:c r="I100" s="15" t="b">
        <x:v>0</x:v>
      </x:c>
    </x:row>
    <x:row r="101">
      <x:c r="A101" s="10" t="str">
        <x:v>LOC126284801</x:v>
      </x:c>
      <x:c r="B101" s="10" t="str">
        <x:v>protein lethal(2)essential for life-like</x:v>
      </x:c>
      <x:c r="C101" s="10" t="str">
        <x:v>protein_coding</x:v>
      </x:c>
      <x:c r="D101" s="10" t="str">
        <x:v>Detoxification / stress</x:v>
      </x:c>
      <x:c r="E101" s="10" t="str">
        <x:v>infection_average_all_diets; infection_diet33; infection_diet50; infection_diet83</x:v>
      </x:c>
      <x:c r="F101" s="10" t="n">
        <x:v>5.88116515568787</x:v>
      </x:c>
      <x:c r="G101" s="10" t="n">
        <x:v>1.43581084738225e-10</x:v>
      </x:c>
      <x:c r="H101" s="10" t="n">
        <x:v>90.8189537881286</x:v>
      </x:c>
      <x:c r="I101" s="15" t="b">
        <x:v>0</x:v>
      </x:c>
    </x:row>
    <x:row r="102">
      <x:c r="A102" s="10" t="str">
        <x:v>LOC126284812</x:v>
      </x:c>
      <x:c r="B102" s="10" t="str">
        <x:v>glucose dehydrogenase [FAD, quinone]-like</x:v>
      </x:c>
      <x:c r="C102" s="10" t="str">
        <x:v>protein_coding</x:v>
      </x:c>
      <x:c r="D102" s="10" t="str">
        <x:v>Detoxification / stress</x:v>
      </x:c>
      <x:c r="E102" s="10" t="str">
        <x:v>infection_average_all_diets; infection_diet33; infection_diet50; infection_diet83</x:v>
      </x:c>
      <x:c r="F102" s="10" t="n">
        <x:v>3.36004786505515</x:v>
      </x:c>
      <x:c r="G102" s="10" t="n">
        <x:v>7.61143081321302e-13</x:v>
      </x:c>
      <x:c r="H102" s="10" t="n">
        <x:v>2852.0850413767</x:v>
      </x:c>
      <x:c r="I102" s="15" t="b">
        <x:v>0</x:v>
      </x:c>
    </x:row>
    <x:row r="103">
      <x:c r="A103" s="10" t="str">
        <x:v>LOC126284817</x:v>
      </x:c>
      <x:c r="B103" s="10" t="str">
        <x:v>protein lethal(2)essential for life-like</x:v>
      </x:c>
      <x:c r="C103" s="10" t="str">
        <x:v>protein_coding</x:v>
      </x:c>
      <x:c r="D103" s="10" t="str">
        <x:v>Detoxification / stress</x:v>
      </x:c>
      <x:c r="E103" s="10" t="str">
        <x:v>infection_average_all_diets; infection_diet33; infection_diet50; infection_diet83</x:v>
      </x:c>
      <x:c r="F103" s="10" t="n">
        <x:v>4.76355398455881</x:v>
      </x:c>
      <x:c r="G103" s="10" t="n">
        <x:v>3.58097134288763e-18</x:v>
      </x:c>
      <x:c r="H103" s="10" t="n">
        <x:v>109.589333493429</x:v>
      </x:c>
      <x:c r="I103" s="15" t="b">
        <x:v>0</x:v>
      </x:c>
    </x:row>
    <x:row r="104">
      <x:c r="A104" s="10" t="str">
        <x:v>LOC126284901</x:v>
      </x:c>
      <x:c r="B104" s="10" t="str">
        <x:v>cytochrome P450 6j1-like</x:v>
      </x:c>
      <x:c r="C104" s="10" t="str">
        <x:v>protein_coding</x:v>
      </x:c>
      <x:c r="D104" s="10" t="str">
        <x:v>Detoxification / stress</x:v>
      </x:c>
      <x:c r="E104" s="10" t="str">
        <x:v>infected_diet83_vs33; infection_average_all_diets; infection_diet33; infection_diet50</x:v>
      </x:c>
      <x:c r="F104" s="10" t="n">
        <x:v>8.12861652224715</x:v>
      </x:c>
      <x:c r="G104" s="10" t="n">
        <x:v>0.000052175761543359</x:v>
      </x:c>
      <x:c r="H104" s="10" t="n">
        <x:v>28.6183447686048</x:v>
      </x:c>
      <x:c r="I104" s="15" t="b">
        <x:v>1</x:v>
      </x:c>
    </x:row>
    <x:row r="105">
      <x:c r="A105" s="10" t="str">
        <x:v>LOC126284902</x:v>
      </x:c>
      <x:c r="B105" s="10" t="str">
        <x:v>cytochrome P450 6j1-like</x:v>
      </x:c>
      <x:c r="C105" s="10" t="str">
        <x:v>protein_coding</x:v>
      </x:c>
      <x:c r="D105" s="10" t="str">
        <x:v>Detoxification / stress</x:v>
      </x:c>
      <x:c r="E105" s="10" t="str">
        <x:v>infected_diet83_vs33; infection_average_all_diets; infection_diet33</x:v>
      </x:c>
      <x:c r="F105" s="10" t="n">
        <x:v>6.47188277010278</x:v>
      </x:c>
      <x:c r="G105" s="10" t="n">
        <x:v>0.00000150529090867471</x:v>
      </x:c>
      <x:c r="H105" s="10" t="n">
        <x:v>33.9017305809539</x:v>
      </x:c>
      <x:c r="I105" s="15" t="b">
        <x:v>1</x:v>
      </x:c>
    </x:row>
    <x:row r="106">
      <x:c r="A106" s="10" t="str">
        <x:v>LOC126284995</x:v>
      </x:c>
      <x:c r="B106" s="10" t="str">
        <x:v>glucose dehydrogenase [FAD, quinone]-like</x:v>
      </x:c>
      <x:c r="C106" s="10" t="str">
        <x:v>protein_coding</x:v>
      </x:c>
      <x:c r="D106" s="10" t="str">
        <x:v>Detoxification / stress</x:v>
      </x:c>
      <x:c r="E106" s="10" t="str">
        <x:v>infection_diet83</x:v>
      </x:c>
      <x:c r="F106" s="10" t="n">
        <x:v>1.80770333398782</x:v>
      </x:c>
      <x:c r="G106" s="10" t="n">
        <x:v>0.0026606787931164</x:v>
      </x:c>
      <x:c r="H106" s="10" t="n">
        <x:v>33.5348933743672</x:v>
      </x:c>
      <x:c r="I106" s="15" t="b">
        <x:v>0</x:v>
      </x:c>
    </x:row>
    <x:row r="107">
      <x:c r="A107" s="10" t="str">
        <x:v>LOC126285281</x:v>
      </x:c>
      <x:c r="B107" s="10" t="str">
        <x:v>glucose dehydrogenase [FAD, quinone]-like</x:v>
      </x:c>
      <x:c r="C107" s="10" t="str">
        <x:v>protein_coding</x:v>
      </x:c>
      <x:c r="D107" s="10" t="str">
        <x:v>Detoxification / stress</x:v>
      </x:c>
      <x:c r="E107" s="10" t="str">
        <x:v>infection_diet83</x:v>
      </x:c>
      <x:c r="F107" s="10" t="n">
        <x:v>2.18645925739904</x:v>
      </x:c>
      <x:c r="G107" s="10" t="n">
        <x:v>0.0434085225087583</x:v>
      </x:c>
      <x:c r="H107" s="10" t="n">
        <x:v>36.7086208949738</x:v>
      </x:c>
      <x:c r="I107" s="15" t="b">
        <x:v>0</x:v>
      </x:c>
    </x:row>
    <x:row r="108">
      <x:c r="A108" s="10" t="str">
        <x:v>LOC126291849</x:v>
      </x:c>
      <x:c r="B108" s="10" t="str">
        <x:v>peroxidase-like</x:v>
      </x:c>
      <x:c r="C108" s="10" t="str">
        <x:v>protein_coding</x:v>
      </x:c>
      <x:c r="D108" s="10" t="str">
        <x:v>Detoxification / stress</x:v>
      </x:c>
      <x:c r="E108" s="10" t="str">
        <x:v>infection_diet50</x:v>
      </x:c>
      <x:c r="F108" s="10" t="n">
        <x:v>1.25762217922922</x:v>
      </x:c>
      <x:c r="G108" s="10" t="n">
        <x:v>0.0372341852133977</x:v>
      </x:c>
      <x:c r="H108" s="10" t="n">
        <x:v>23.1565338610682</x:v>
      </x:c>
      <x:c r="I108" s="15" t="b">
        <x:v>0</x:v>
      </x:c>
    </x:row>
    <x:row r="109">
      <x:c r="A109" s="10" t="str">
        <x:v>LOC126292129</x:v>
      </x:c>
      <x:c r="B109" s="10" t="str">
        <x:v>cytochrome P450 4C1-like</x:v>
      </x:c>
      <x:c r="C109" s="10" t="str">
        <x:v>protein_coding</x:v>
      </x:c>
      <x:c r="D109" s="10" t="str">
        <x:v>Detoxification / stress</x:v>
      </x:c>
      <x:c r="E109" s="10" t="str">
        <x:v>control_diet33_vs50; control_diet83_vs33; infection_diet33</x:v>
      </x:c>
      <x:c r="F109" s="10" t="n">
        <x:v>3.13420083360126</x:v>
      </x:c>
      <x:c r="G109" s="10" t="n">
        <x:v>0.0136758654303045</x:v>
      </x:c>
      <x:c r="H109" s="10" t="n">
        <x:v>22.4305098122995</x:v>
      </x:c>
      <x:c r="I109" s="15" t="b">
        <x:v>1</x:v>
      </x:c>
    </x:row>
    <x:row r="110">
      <x:c r="A110" s="10" t="str">
        <x:v>LOC126293326</x:v>
      </x:c>
      <x:c r="B110" s="10" t="str">
        <x:v>peroxidase-like</x:v>
      </x:c>
      <x:c r="C110" s="10" t="str">
        <x:v>protein_coding</x:v>
      </x:c>
      <x:c r="D110" s="10" t="str">
        <x:v>Detoxification / stress</x:v>
      </x:c>
      <x:c r="E110" s="10" t="str">
        <x:v>infected_diet33_vs50; infection_average_all_diets; infection_diet50; infection_diet83</x:v>
      </x:c>
      <x:c r="F110" s="10" t="n">
        <x:v>2.83662365771751</x:v>
      </x:c>
      <x:c r="G110" s="10" t="n">
        <x:v>2.10128955478349e-9</x:v>
      </x:c>
      <x:c r="H110" s="10" t="n">
        <x:v>27.9664737955818</x:v>
      </x:c>
      <x:c r="I110" s="15" t="b">
        <x:v>0</x:v>
      </x:c>
    </x:row>
    <x:row r="111">
      <x:c r="A111" s="10" t="str">
        <x:v>LOC126293516</x:v>
      </x:c>
      <x:c r="B111" s="10" t="str">
        <x:v>probable cytochrome P450 304a1</x:v>
      </x:c>
      <x:c r="C111" s="10" t="str">
        <x:v>protein_coding</x:v>
      </x:c>
      <x:c r="D111" s="10" t="str">
        <x:v>Detoxification / stress</x:v>
      </x:c>
      <x:c r="E111" s="10" t="str">
        <x:v>infection_average_all_diets</x:v>
      </x:c>
      <x:c r="F111" s="10" t="n">
        <x:v>1.57364205502062</x:v>
      </x:c>
      <x:c r="G111" s="10" t="n">
        <x:v>0.0043015288980815</x:v>
      </x:c>
      <x:c r="H111" s="10" t="n">
        <x:v>4.87613501312059</x:v>
      </x:c>
      <x:c r="I111" s="15" t="b">
        <x:v>0</x:v>
      </x:c>
    </x:row>
    <x:row r="112">
      <x:c r="A112" s="10" t="str">
        <x:v>LOC126293721</x:v>
      </x:c>
      <x:c r="B112" s="10" t="str">
        <x:v>probable cytochrome P450 304a1</x:v>
      </x:c>
      <x:c r="C112" s="10" t="str">
        <x:v>protein_coding</x:v>
      </x:c>
      <x:c r="D112" s="10" t="str">
        <x:v>Detoxification / stress</x:v>
      </x:c>
      <x:c r="E112" s="10" t="str">
        <x:v>control_diet83_vs50</x:v>
      </x:c>
      <x:c r="F112" s="10" t="n">
        <x:v>2.04939148130409</x:v>
      </x:c>
      <x:c r="G112" s="10" t="n">
        <x:v>0.0189675754414425</x:v>
      </x:c>
      <x:c r="H112" s="10" t="n">
        <x:v>14.9121516057642</x:v>
      </x:c>
      <x:c r="I112" s="15" t="b">
        <x:v>0</x:v>
      </x:c>
    </x:row>
    <x:row r="113">
      <x:c r="A113" s="10" t="str">
        <x:v>LOC126293748</x:v>
      </x:c>
      <x:c r="B113" s="10" t="str">
        <x:v>NADH-ubiquinone oxidoreductase chain 1-like</x:v>
      </x:c>
      <x:c r="C113" s="10" t="str">
        <x:v>protein_coding</x:v>
      </x:c>
      <x:c r="D113" s="10" t="str">
        <x:v>Detoxification / stress</x:v>
      </x:c>
      <x:c r="E113" s="10" t="str">
        <x:v>infection_diet50</x:v>
      </x:c>
      <x:c r="F113" s="10" t="n">
        <x:v>1.32792246390525</x:v>
      </x:c>
      <x:c r="G113" s="10" t="n">
        <x:v>0.024033043641998</x:v>
      </x:c>
      <x:c r="H113" s="10" t="n">
        <x:v>250.468504916843</x:v>
      </x:c>
      <x:c r="I113" s="15" t="b">
        <x:v>0</x:v>
      </x:c>
    </x:row>
    <x:row r="114">
      <x:c r="A114" s="10" t="str">
        <x:v>LOC126295222</x:v>
      </x:c>
      <x:c r="B114" s="10" t="str">
        <x:v>uncharacterized LOC126295222</x:v>
      </x:c>
      <x:c r="C114" s="10" t="str">
        <x:v>protein_coding</x:v>
      </x:c>
      <x:c r="D114" s="10" t="str">
        <x:v>Detoxification / stress</x:v>
      </x:c>
      <x:c r="E114" s="10" t="str">
        <x:v>infection_diet50</x:v>
      </x:c>
      <x:c r="F114" s="10" t="n">
        <x:v>1.04451974272043</x:v>
      </x:c>
      <x:c r="G114" s="10" t="n">
        <x:v>0.0273124989654574</x:v>
      </x:c>
      <x:c r="H114" s="10" t="n">
        <x:v>387.619672056153</x:v>
      </x:c>
      <x:c r="I114" s="15" t="b">
        <x:v>0</x:v>
      </x:c>
    </x:row>
    <x:row r="115">
      <x:c r="A115" s="10" t="str">
        <x:v>LOC126295284</x:v>
      </x:c>
      <x:c r="B115" s="10" t="str">
        <x:v>procollagen-lysine,2-oxoglutarate 5-dioxygenase</x:v>
      </x:c>
      <x:c r="C115" s="10" t="str">
        <x:v>protein_coding</x:v>
      </x:c>
      <x:c r="D115" s="10" t="str">
        <x:v>Detoxification / stress</x:v>
      </x:c>
      <x:c r="E115" s="10" t="str">
        <x:v>infection_diet83</x:v>
      </x:c>
      <x:c r="F115" s="10" t="n">
        <x:v>1.27216933508526</x:v>
      </x:c>
      <x:c r="G115" s="10" t="n">
        <x:v>0.00000513114433950048</x:v>
      </x:c>
      <x:c r="H115" s="10" t="n">
        <x:v>1901.12917183966</x:v>
      </x:c>
      <x:c r="I115" s="15" t="b">
        <x:v>0</x:v>
      </x:c>
    </x:row>
    <x:row r="116">
      <x:c r="A116" s="10" t="str">
        <x:v>LOC126295407</x:v>
      </x:c>
      <x:c r="B116" s="10" t="str">
        <x:v>heat shock protein 60A</x:v>
      </x:c>
      <x:c r="C116" s="10" t="str">
        <x:v>protein_coding</x:v>
      </x:c>
      <x:c r="D116" s="10" t="str">
        <x:v>Detoxification / stress</x:v>
      </x:c>
      <x:c r="E116" s="10" t="str">
        <x:v>infection_diet50; infection_diet83</x:v>
      </x:c>
      <x:c r="F116" s="10" t="n">
        <x:v>1.10723502322703</x:v>
      </x:c>
      <x:c r="G116" s="10" t="n">
        <x:v>0.0217012217189026</x:v>
      </x:c>
      <x:c r="H116" s="10" t="n">
        <x:v>596.720784029925</x:v>
      </x:c>
      <x:c r="I116" s="15" t="b">
        <x:v>0</x:v>
      </x:c>
    </x:row>
    <x:row r="117">
      <x:c r="A117" s="10" t="str">
        <x:v>LOC126295441</x:v>
      </x:c>
      <x:c r="B117" s="10" t="str">
        <x:v>uncharacterized LOC126295441</x:v>
      </x:c>
      <x:c r="C117" s="10" t="str">
        <x:v>protein_coding</x:v>
      </x:c>
      <x:c r="D117" s="10" t="str">
        <x:v>Detoxification / stress</x:v>
      </x:c>
      <x:c r="E117" s="10" t="str">
        <x:v>infection_diet33</x:v>
      </x:c>
      <x:c r="F117" s="10" t="n">
        <x:v>1.0582201213543</x:v>
      </x:c>
      <x:c r="G117" s="10" t="n">
        <x:v>0.006001015837018</x:v>
      </x:c>
      <x:c r="H117" s="10" t="n">
        <x:v>156.02764264504</x:v>
      </x:c>
      <x:c r="I117" s="15" t="b">
        <x:v>0</x:v>
      </x:c>
    </x:row>
    <x:row r="118">
      <x:c r="A118" s="10" t="str">
        <x:v>LOC126295442</x:v>
      </x:c>
      <x:c r="B118" s="10" t="str">
        <x:v>uncharacterized LOC126295442</x:v>
      </x:c>
      <x:c r="C118" s="10" t="str">
        <x:v>protein_coding</x:v>
      </x:c>
      <x:c r="D118" s="10" t="str">
        <x:v>Detoxification / stress</x:v>
      </x:c>
      <x:c r="E118" s="10" t="str">
        <x:v>infection_average_all_diets; infection_diet33; infection_diet50; infection_diet83</x:v>
      </x:c>
      <x:c r="F118" s="10" t="n">
        <x:v>1.58009050459985</x:v>
      </x:c>
      <x:c r="G118" s="10" t="n">
        <x:v>9.925688445951311e-9</x:v>
      </x:c>
      <x:c r="H118" s="10" t="n">
        <x:v>1033.64302434163</x:v>
      </x:c>
      <x:c r="I118" s="15" t="b">
        <x:v>0</x:v>
      </x:c>
    </x:row>
    <x:row r="119">
      <x:c r="A119" s="10" t="str">
        <x:v>LOC126295444</x:v>
      </x:c>
      <x:c r="B119" s="10" t="str">
        <x:v>uncharacterized LOC126295444</x:v>
      </x:c>
      <x:c r="C119" s="10" t="str">
        <x:v>protein_coding</x:v>
      </x:c>
      <x:c r="D119" s="10" t="str">
        <x:v>Detoxification / stress</x:v>
      </x:c>
      <x:c r="E119" s="10" t="str">
        <x:v>infection_diet33</x:v>
      </x:c>
      <x:c r="F119" s="10" t="n">
        <x:v>1.07489899736586</x:v>
      </x:c>
      <x:c r="G119" s="10" t="n">
        <x:v>0.0051371314397671</x:v>
      </x:c>
      <x:c r="H119" s="10" t="n">
        <x:v>151.600503645608</x:v>
      </x:c>
      <x:c r="I119" s="15" t="b">
        <x:v>0</x:v>
      </x:c>
    </x:row>
    <x:row r="120">
      <x:c r="A120" s="10" t="str">
        <x:v>LOC126298354</x:v>
      </x:c>
      <x:c r="B120" s="10" t="str">
        <x:v>cytochrome P450 4C1-like</x:v>
      </x:c>
      <x:c r="C120" s="10" t="str">
        <x:v>protein_coding</x:v>
      </x:c>
      <x:c r="D120" s="10" t="str">
        <x:v>Detoxification / stress</x:v>
      </x:c>
      <x:c r="E120" s="10" t="str">
        <x:v>infection_average_all_diets; infection_diet50</x:v>
      </x:c>
      <x:c r="F120" s="10" t="n">
        <x:v>2.23241573473022</x:v>
      </x:c>
      <x:c r="G120" s="10" t="n">
        <x:v>0.0000183810251336882</x:v>
      </x:c>
      <x:c r="H120" s="10" t="n">
        <x:v>615.813927905821</x:v>
      </x:c>
      <x:c r="I120" s="15" t="b">
        <x:v>0</x:v>
      </x:c>
    </x:row>
    <x:row r="121">
      <x:c r="A121" s="10" t="str">
        <x:v>LOC126298490</x:v>
      </x:c>
      <x:c r="B121" s="10" t="str">
        <x:v>dopamine beta-hydroxylase</x:v>
      </x:c>
      <x:c r="C121" s="10" t="str">
        <x:v>protein_coding</x:v>
      </x:c>
      <x:c r="D121" s="10" t="str">
        <x:v>Detoxification / stress</x:v>
      </x:c>
      <x:c r="E121" s="10" t="str">
        <x:v>infection_diet50</x:v>
      </x:c>
      <x:c r="F121" s="10" t="n">
        <x:v>2.00989434453363</x:v>
      </x:c>
      <x:c r="G121" s="10" t="n">
        <x:v>0.0416845037906994</x:v>
      </x:c>
      <x:c r="H121" s="10" t="n">
        <x:v>10.0315601155151</x:v>
      </x:c>
      <x:c r="I121" s="15" t="b">
        <x:v>0</x:v>
      </x:c>
    </x:row>
    <x:row r="122">
      <x:c r="A122" s="10" t="str">
        <x:v>LOC126298602</x:v>
      </x:c>
      <x:c r="B122" s="10" t="str">
        <x:v>cocaine esterase</x:v>
      </x:c>
      <x:c r="C122" s="10" t="str">
        <x:v>protein_coding</x:v>
      </x:c>
      <x:c r="D122" s="10" t="str">
        <x:v>Detoxification / stress</x:v>
      </x:c>
      <x:c r="E122" s="10" t="str">
        <x:v>infection_diet50</x:v>
      </x:c>
      <x:c r="F122" s="10" t="n">
        <x:v>1.37342959936572</x:v>
      </x:c>
      <x:c r="G122" s="10" t="n">
        <x:v>0.0024193697023273</x:v>
      </x:c>
      <x:c r="H122" s="10" t="n">
        <x:v>23.9277103301245</x:v>
      </x:c>
      <x:c r="I122" s="15" t="b">
        <x:v>0</x:v>
      </x:c>
    </x:row>
    <x:row r="123">
      <x:c r="A123" s="10" t="str">
        <x:v>LOC126298692</x:v>
      </x:c>
      <x:c r="B123" s="10" t="str">
        <x:v>NADH-ubiquinone oxidoreductase chain 5-like</x:v>
      </x:c>
      <x:c r="C123" s="10" t="str">
        <x:v>protein_coding</x:v>
      </x:c>
      <x:c r="D123" s="10" t="str">
        <x:v>Detoxification / stress</x:v>
      </x:c>
      <x:c r="E123" s="10" t="str">
        <x:v>infection_average_all_diets</x:v>
      </x:c>
      <x:c r="F123" s="10" t="n">
        <x:v>1.36813966187867</x:v>
      </x:c>
      <x:c r="G123" s="10" t="n">
        <x:v>0.0125020667196907</x:v>
      </x:c>
      <x:c r="H123" s="10" t="n">
        <x:v>13.181757357601</x:v>
      </x:c>
      <x:c r="I123" s="15" t="b">
        <x:v>0</x:v>
      </x:c>
    </x:row>
    <x:row r="124">
      <x:c r="A124" s="10" t="str">
        <x:v>LOC126299150</x:v>
      </x:c>
      <x:c r="B124" s="10" t="str">
        <x:v>ecdysone 20-monooxygenase</x:v>
      </x:c>
      <x:c r="C124" s="10" t="str">
        <x:v>protein_coding</x:v>
      </x:c>
      <x:c r="D124" s="10" t="str">
        <x:v>Detoxification / stress</x:v>
      </x:c>
      <x:c r="E124" s="10" t="str">
        <x:v>infection_average_all_diets; infection_diet33; infection_diet50</x:v>
      </x:c>
      <x:c r="F124" s="10" t="n">
        <x:v>2.51704906744662</x:v>
      </x:c>
      <x:c r="G124" s="10" t="n">
        <x:v>8.017822389116711e-9</x:v>
      </x:c>
      <x:c r="H124" s="10" t="n">
        <x:v>277.569188424807</x:v>
      </x:c>
      <x:c r="I124" s="15" t="b">
        <x:v>0</x:v>
      </x:c>
    </x:row>
    <x:row r="125">
      <x:c r="A125" s="10" t="str">
        <x:v>LOC126305900</x:v>
      </x:c>
      <x:c r="B125" s="10" t="str">
        <x:v>cytochrome P450 306a1</x:v>
      </x:c>
      <x:c r="C125" s="10" t="str">
        <x:v>protein_coding</x:v>
      </x:c>
      <x:c r="D125" s="10" t="str">
        <x:v>Detoxification / stress</x:v>
      </x:c>
      <x:c r="E125" s="10" t="str">
        <x:v>infection_average_all_diets; infection_diet33; infection_diet50</x:v>
      </x:c>
      <x:c r="F125" s="10" t="n">
        <x:v>1.79590885663813</x:v>
      </x:c>
      <x:c r="G125" s="10" t="n">
        <x:v>5.03445223481416e-7</x:v>
      </x:c>
      <x:c r="H125" s="10" t="n">
        <x:v>131.363728908079</x:v>
      </x:c>
      <x:c r="I125" s="15" t="b">
        <x:v>0</x:v>
      </x:c>
    </x:row>
    <x:row r="126">
      <x:c r="A126" s="10" t="str">
        <x:v>LOC126320178</x:v>
      </x:c>
      <x:c r="B126" s="10" t="str">
        <x:v>cytochrome P450 315a1, mitochondrial</x:v>
      </x:c>
      <x:c r="C126" s="10" t="str">
        <x:v>protein_coding</x:v>
      </x:c>
      <x:c r="D126" s="10" t="str">
        <x:v>Detoxification / stress</x:v>
      </x:c>
      <x:c r="E126" s="10" t="str">
        <x:v>infection_diet50</x:v>
      </x:c>
      <x:c r="F126" s="10" t="n">
        <x:v>2.05768982367583</x:v>
      </x:c>
      <x:c r="G126" s="10" t="n">
        <x:v>0.0002019947907982</x:v>
      </x:c>
      <x:c r="H126" s="10" t="n">
        <x:v>218.48007266903</x:v>
      </x:c>
      <x:c r="I126" s="15" t="b">
        <x:v>0</x:v>
      </x:c>
    </x:row>
    <x:row r="127">
      <x:c r="A127" s="10" t="str">
        <x:v>LOC126330110</x:v>
      </x:c>
      <x:c r="B127" s="10" t="str">
        <x:v>carboxylesterase 4A</x:v>
      </x:c>
      <x:c r="C127" s="10" t="str">
        <x:v>protein_coding</x:v>
      </x:c>
      <x:c r="D127" s="10" t="str">
        <x:v>Detoxification / stress</x:v>
      </x:c>
      <x:c r="E127" s="10" t="str">
        <x:v>infection_diet50</x:v>
      </x:c>
      <x:c r="F127" s="10" t="n">
        <x:v>1.18297902700902</x:v>
      </x:c>
      <x:c r="G127" s="10" t="n">
        <x:v>0.0386483991752592</x:v>
      </x:c>
      <x:c r="H127" s="10" t="n">
        <x:v>301.089914389308</x:v>
      </x:c>
      <x:c r="I127" s="15" t="b">
        <x:v>0</x:v>
      </x:c>
    </x:row>
    <x:row r="128">
      <x:c r="A128" s="10" t="str">
        <x:v>LOC126333165</x:v>
      </x:c>
      <x:c r="B128" s="10" t="str">
        <x:v>MOXD1 homolog 1-like</x:v>
      </x:c>
      <x:c r="C128" s="10" t="str">
        <x:v>protein_coding</x:v>
      </x:c>
      <x:c r="D128" s="10" t="str">
        <x:v>Detoxification / stress</x:v>
      </x:c>
      <x:c r="E128" s="10" t="str">
        <x:v>infection_average_all_diets; infection_diet50</x:v>
      </x:c>
      <x:c r="F128" s="10" t="n">
        <x:v>1.89418910588278</x:v>
      </x:c>
      <x:c r="G128" s="10" t="n">
        <x:v>0.0003476031703772</x:v>
      </x:c>
      <x:c r="H128" s="10" t="n">
        <x:v>687.929598248272</x:v>
      </x:c>
      <x:c r="I128" s="15" t="b">
        <x:v>0</x:v>
      </x:c>
    </x:row>
    <x:row r="129">
      <x:c r="A129" s="10" t="str">
        <x:v>LOC126334774</x:v>
      </x:c>
      <x:c r="B129" s="10" t="str">
        <x:v>ATP-binding cassette sub-family C member 4-like</x:v>
      </x:c>
      <x:c r="C129" s="10" t="str">
        <x:v>protein_coding</x:v>
      </x:c>
      <x:c r="D129" s="10" t="str">
        <x:v>Detoxification / stress</x:v>
      </x:c>
      <x:c r="E129" s="10" t="str">
        <x:v>infection_average_all_diets</x:v>
      </x:c>
      <x:c r="F129" s="10" t="n">
        <x:v>1.16469686761074</x:v>
      </x:c>
      <x:c r="G129" s="10" t="n">
        <x:v>0.0062407369533865</x:v>
      </x:c>
      <x:c r="H129" s="10" t="n">
        <x:v>998.121233822382</x:v>
      </x:c>
      <x:c r="I129" s="15" t="b">
        <x:v>0</x:v>
      </x:c>
    </x:row>
    <x:row r="130">
      <x:c r="A130" s="10" t="str">
        <x:v>LOC126335045</x:v>
      </x:c>
      <x:c r="B130" s="10" t="str">
        <x:v>probable cytochrome P450 6a13</x:v>
      </x:c>
      <x:c r="C130" s="10" t="str">
        <x:v>protein_coding</x:v>
      </x:c>
      <x:c r="D130" s="10" t="str">
        <x:v>Detoxification / stress</x:v>
      </x:c>
      <x:c r="E130" s="10" t="str">
        <x:v>infection_average_all_diets; infection_diet50</x:v>
      </x:c>
      <x:c r="F130" s="10" t="n">
        <x:v>2.52715233399896</x:v>
      </x:c>
      <x:c r="G130" s="10" t="n">
        <x:v>0.0067680258696758</x:v>
      </x:c>
      <x:c r="H130" s="10" t="n">
        <x:v>211.972850344581</x:v>
      </x:c>
      <x:c r="I130" s="15" t="b">
        <x:v>0</x:v>
      </x:c>
    </x:row>
    <x:row r="131">
      <x:c r="A131" s="10" t="str">
        <x:v>LOC126335345</x:v>
      </x:c>
      <x:c r="B131" s="10" t="str">
        <x:v>neuroligin-2-like</x:v>
      </x:c>
      <x:c r="C131" s="10" t="str">
        <x:v>protein_coding</x:v>
      </x:c>
      <x:c r="D131" s="10" t="str">
        <x:v>Detoxification / stress</x:v>
      </x:c>
      <x:c r="E131" s="10" t="str">
        <x:v>infection_average_all_diets; infection_diet33; infection_diet50</x:v>
      </x:c>
      <x:c r="F131" s="10" t="n">
        <x:v>1.24414764033393</x:v>
      </x:c>
      <x:c r="G131" s="10" t="n">
        <x:v>0.0000149706029544651</x:v>
      </x:c>
      <x:c r="H131" s="10" t="n">
        <x:v>4135.76578763938</x:v>
      </x:c>
      <x:c r="I131" s="15" t="b">
        <x:v>0</x:v>
      </x:c>
    </x:row>
    <x:row r="132">
      <x:c r="A132" s="10" t="str">
        <x:v>LOC126335565</x:v>
      </x:c>
      <x:c r="B132" s="10" t="str">
        <x:v>cytochrome P450 9e2-like</x:v>
      </x:c>
      <x:c r="C132" s="10" t="str">
        <x:v>protein_coding</x:v>
      </x:c>
      <x:c r="D132" s="10" t="str">
        <x:v>Detoxification / stress</x:v>
      </x:c>
      <x:c r="E132" s="10" t="str">
        <x:v>infection_average_all_diets; infection_diet33; infection_diet50; infection_diet83</x:v>
      </x:c>
      <x:c r="F132" s="10" t="n">
        <x:v>4.18483016398404</x:v>
      </x:c>
      <x:c r="G132" s="10" t="n">
        <x:v>1.97367284000718e-21</x:v>
      </x:c>
      <x:c r="H132" s="10" t="n">
        <x:v>241.500308906975</x:v>
      </x:c>
      <x:c r="I132" s="15" t="b">
        <x:v>0</x:v>
      </x:c>
    </x:row>
    <x:row r="133">
      <x:c r="A133" s="10" t="str">
        <x:v>LOC126335566</x:v>
      </x:c>
      <x:c r="B133" s="10" t="str">
        <x:v>cytochrome P450 9e2-like</x:v>
      </x:c>
      <x:c r="C133" s="10" t="str">
        <x:v>protein_coding</x:v>
      </x:c>
      <x:c r="D133" s="10" t="str">
        <x:v>Detoxification / stress</x:v>
      </x:c>
      <x:c r="E133" s="10" t="str">
        <x:v>infection_average_all_diets; infection_diet33; infection_diet50; infection_diet83</x:v>
      </x:c>
      <x:c r="F133" s="10" t="n">
        <x:v>1.57927500285362</x:v>
      </x:c>
      <x:c r="G133" s="10" t="n">
        <x:v>0.00000173312034690428</x:v>
      </x:c>
      <x:c r="H133" s="10" t="n">
        <x:v>24.5240996681185</x:v>
      </x:c>
      <x:c r="I133" s="15" t="b">
        <x:v>0</x:v>
      </x:c>
    </x:row>
    <x:row r="134">
      <x:c r="A134" s="10" t="str">
        <x:v>LOC126335582</x:v>
      </x:c>
      <x:c r="B134" s="10" t="str">
        <x:v>cytochrome P450 9e2-like</x:v>
      </x:c>
      <x:c r="C134" s="10" t="str">
        <x:v>protein_coding</x:v>
      </x:c>
      <x:c r="D134" s="10" t="str">
        <x:v>Detoxification / stress</x:v>
      </x:c>
      <x:c r="E134" s="10" t="str">
        <x:v>infection_diet50</x:v>
      </x:c>
      <x:c r="F134" s="10" t="n">
        <x:v>1.1620973740256</x:v>
      </x:c>
      <x:c r="G134" s="10" t="n">
        <x:v>0.0437580380455703</x:v>
      </x:c>
      <x:c r="H134" s="10" t="n">
        <x:v>5.54998552181339</x:v>
      </x:c>
      <x:c r="I134" s="15" t="b">
        <x:v>0</x:v>
      </x:c>
    </x:row>
    <x:row r="135">
      <x:c r="A135" s="10" t="str">
        <x:v>LOC126335786</x:v>
      </x:c>
      <x:c r="B135" s="10" t="str">
        <x:v>cholinesterase 1-like</x:v>
      </x:c>
      <x:c r="C135" s="10" t="str">
        <x:v>protein_coding</x:v>
      </x:c>
      <x:c r="D135" s="10" t="str">
        <x:v>Detoxification / stress</x:v>
      </x:c>
      <x:c r="E135" s="10" t="str">
        <x:v>infected_diet83_vs50; infection_average_all_diets; infection_diet33; infection_diet83</x:v>
      </x:c>
      <x:c r="F135" s="10" t="n">
        <x:v>2.06277170462324</x:v>
      </x:c>
      <x:c r="G135" s="10" t="n">
        <x:v>0.0010395942521777</x:v>
      </x:c>
      <x:c r="H135" s="10" t="n">
        <x:v>899.772161975288</x:v>
      </x:c>
      <x:c r="I135" s="15" t="b">
        <x:v>0</x:v>
      </x:c>
    </x:row>
    <x:row r="136">
      <x:c r="A136" s="10" t="str">
        <x:v>LOC126336041</x:v>
      </x:c>
      <x:c r="B136" s="10" t="str">
        <x:v>uncharacterized LOC126336041</x:v>
      </x:c>
      <x:c r="C136" s="10" t="str">
        <x:v>protein_coding</x:v>
      </x:c>
      <x:c r="D136" s="10" t="str">
        <x:v>Detoxification / stress</x:v>
      </x:c>
      <x:c r="E136" s="10" t="str">
        <x:v>infection_diet33</x:v>
      </x:c>
      <x:c r="F136" s="10" t="n">
        <x:v>1.0604229333275</x:v>
      </x:c>
      <x:c r="G136" s="10" t="n">
        <x:v>0.0121715034261816</x:v>
      </x:c>
      <x:c r="H136" s="10" t="n">
        <x:v>1363.73748999381</x:v>
      </x:c>
      <x:c r="I136" s="15" t="b">
        <x:v>0</x:v>
      </x:c>
    </x:row>
    <x:row r="137">
      <x:c r="A137" s="10" t="str">
        <x:v>LOC126336044</x:v>
      </x:c>
      <x:c r="B137" s="10" t="str">
        <x:v>uncharacterized LOC126336044</x:v>
      </x:c>
      <x:c r="C137" s="10" t="str">
        <x:v>protein_coding</x:v>
      </x:c>
      <x:c r="D137" s="10" t="str">
        <x:v>Detoxification / stress</x:v>
      </x:c>
      <x:c r="E137" s="10" t="str">
        <x:v>infected_diet33_vs50</x:v>
      </x:c>
      <x:c r="F137" s="10" t="n">
        <x:v>1.89602973001442</x:v>
      </x:c>
      <x:c r="G137" s="10" t="n">
        <x:v>0.0292074739234848</x:v>
      </x:c>
      <x:c r="H137" s="10" t="n">
        <x:v>27.1629120343713</x:v>
      </x:c>
      <x:c r="I137" s="15" t="b">
        <x:v>0</x:v>
      </x:c>
    </x:row>
    <x:row r="138">
      <x:c r="A138" s="10" t="str">
        <x:v>LOC126336692</x:v>
      </x:c>
      <x:c r="B138" s="10" t="str">
        <x:v>glutathione S-transferase-like</x:v>
      </x:c>
      <x:c r="C138" s="10" t="str">
        <x:v>protein_coding</x:v>
      </x:c>
      <x:c r="D138" s="10" t="str">
        <x:v>Detoxification / stress</x:v>
      </x:c>
      <x:c r="E138" s="10" t="str">
        <x:v>infection_average_all_diets; infection_diet33; infection_diet50</x:v>
      </x:c>
      <x:c r="F138" s="10" t="n">
        <x:v>1.49572938860764</x:v>
      </x:c>
      <x:c r="G138" s="10" t="n">
        <x:v>0.00000619279827601089</x:v>
      </x:c>
      <x:c r="H138" s="10" t="n">
        <x:v>79.7663043279629</x:v>
      </x:c>
      <x:c r="I138" s="15" t="b">
        <x:v>0</x:v>
      </x:c>
    </x:row>
    <x:row r="139">
      <x:c r="A139" s="10" t="str">
        <x:v>LOC126336693</x:v>
      </x:c>
      <x:c r="B139" s="10" t="str">
        <x:v>glutathione S-transferase-like</x:v>
      </x:c>
      <x:c r="C139" s="10" t="str">
        <x:v>protein_coding</x:v>
      </x:c>
      <x:c r="D139" s="10" t="str">
        <x:v>Detoxification / stress</x:v>
      </x:c>
      <x:c r="E139" s="10" t="str">
        <x:v>infection_average_all_diets</x:v>
      </x:c>
      <x:c r="F139" s="10" t="n">
        <x:v>1.03844293690677</x:v>
      </x:c>
      <x:c r="G139" s="10" t="n">
        <x:v>0.0012031358177517</x:v>
      </x:c>
      <x:c r="H139" s="10" t="n">
        <x:v>146.623535363214</x:v>
      </x:c>
      <x:c r="I139" s="15" t="b">
        <x:v>0</x:v>
      </x:c>
    </x:row>
    <x:row r="140">
      <x:c r="A140" s="10" t="str">
        <x:v>LOC126336695</x:v>
      </x:c>
      <x:c r="B140" s="10" t="str">
        <x:v>glutathione S-transferase-like</x:v>
      </x:c>
      <x:c r="C140" s="10" t="str">
        <x:v>protein_coding</x:v>
      </x:c>
      <x:c r="D140" s="10" t="str">
        <x:v>Detoxification / stress</x:v>
      </x:c>
      <x:c r="E140" s="10" t="str">
        <x:v>infection_average_all_diets; infection_diet33; infection_diet50; infection_diet83</x:v>
      </x:c>
      <x:c r="F140" s="10" t="n">
        <x:v>1.67996590290992</x:v>
      </x:c>
      <x:c r="G140" s="10" t="n">
        <x:v>4.71342634322758e-14</x:v>
      </x:c>
      <x:c r="H140" s="10" t="n">
        <x:v>293.398379356444</x:v>
      </x:c>
      <x:c r="I140" s="15" t="b">
        <x:v>0</x:v>
      </x:c>
    </x:row>
    <x:row r="141">
      <x:c r="A141" s="10" t="str">
        <x:v>LOC126336697</x:v>
      </x:c>
      <x:c r="B141" s="10" t="str">
        <x:v>glutathione S-transferase-like</x:v>
      </x:c>
      <x:c r="C141" s="10" t="str">
        <x:v>protein_coding</x:v>
      </x:c>
      <x:c r="D141" s="10" t="str">
        <x:v>Detoxification / stress</x:v>
      </x:c>
      <x:c r="E141" s="10" t="str">
        <x:v>infection_average_all_diets; infection_diet33</x:v>
      </x:c>
      <x:c r="F141" s="10" t="n">
        <x:v>1.76965179857064</x:v>
      </x:c>
      <x:c r="G141" s="10" t="n">
        <x:v>0.0013802183295479</x:v>
      </x:c>
      <x:c r="H141" s="10" t="n">
        <x:v>89.3191242687199</x:v>
      </x:c>
      <x:c r="I141" s="15" t="b">
        <x:v>0</x:v>
      </x:c>
    </x:row>
    <x:row r="142">
      <x:c r="A142" s="10" t="str">
        <x:v>LOC126336713</x:v>
      </x:c>
      <x:c r="B142" s="10" t="str">
        <x:v>glutathione S-transferase 1-like</x:v>
      </x:c>
      <x:c r="C142" s="10" t="str">
        <x:v>protein_coding</x:v>
      </x:c>
      <x:c r="D142" s="10" t="str">
        <x:v>Detoxification / stress</x:v>
      </x:c>
      <x:c r="E142" s="10" t="str">
        <x:v>infection_average_all_diets</x:v>
      </x:c>
      <x:c r="F142" s="10" t="n">
        <x:v>1.53773575515978</x:v>
      </x:c>
      <x:c r="G142" s="10" t="n">
        <x:v>0.0179442663315867</x:v>
      </x:c>
      <x:c r="H142" s="10" t="n">
        <x:v>620.177883327649</x:v>
      </x:c>
      <x:c r="I142" s="15" t="b">
        <x:v>0</x:v>
      </x:c>
    </x:row>
    <x:row r="143">
      <x:c r="A143" s="10" t="str">
        <x:v>LOC126336722</x:v>
      </x:c>
      <x:c r="B143" s="10" t="str">
        <x:v>glutathione S-transferase 1-1-like</x:v>
      </x:c>
      <x:c r="C143" s="10" t="str">
        <x:v>protein_coding</x:v>
      </x:c>
      <x:c r="D143" s="10" t="str">
        <x:v>Detoxification / stress</x:v>
      </x:c>
      <x:c r="E143" s="10" t="str">
        <x:v>infection_average_all_diets; infection_diet50</x:v>
      </x:c>
      <x:c r="F143" s="10" t="n">
        <x:v>1.82826134528819</x:v>
      </x:c>
      <x:c r="G143" s="10" t="n">
        <x:v>0.0135840284537785</x:v>
      </x:c>
      <x:c r="H143" s="10" t="n">
        <x:v>106.993566250448</x:v>
      </x:c>
      <x:c r="I143" s="15" t="b">
        <x:v>0</x:v>
      </x:c>
    </x:row>
    <x:row r="144">
      <x:c r="A144" s="10" t="str">
        <x:v>LOC126336730</x:v>
      </x:c>
      <x:c r="B144" s="10" t="str">
        <x:v>glutathione S-transferase-like</x:v>
      </x:c>
      <x:c r="C144" s="10" t="str">
        <x:v>protein_coding</x:v>
      </x:c>
      <x:c r="D144" s="10" t="str">
        <x:v>Detoxification / stress</x:v>
      </x:c>
      <x:c r="E144" s="10" t="str">
        <x:v>infection_average_all_diets; infection_diet33; infection_diet50</x:v>
      </x:c>
      <x:c r="F144" s="10" t="n">
        <x:v>1.84383457315316</x:v>
      </x:c>
      <x:c r="G144" s="10" t="n">
        <x:v>2.72791741095495e-8</x:v>
      </x:c>
      <x:c r="H144" s="10" t="n">
        <x:v>209.842684759409</x:v>
      </x:c>
      <x:c r="I144" s="15" t="b">
        <x:v>0</x:v>
      </x:c>
    </x:row>
    <x:row r="145">
      <x:c r="A145" s="10" t="str">
        <x:v>LOC126336735</x:v>
      </x:c>
      <x:c r="B145" s="10" t="str">
        <x:v>glutathione S-transferase 1-1-like</x:v>
      </x:c>
      <x:c r="C145" s="10" t="str">
        <x:v>protein_coding</x:v>
      </x:c>
      <x:c r="D145" s="10" t="str">
        <x:v>Detoxification / stress</x:v>
      </x:c>
      <x:c r="E145" s="10" t="str">
        <x:v>infection_average_all_diets; infection_diet33; infection_diet50</x:v>
      </x:c>
      <x:c r="F145" s="10" t="n">
        <x:v>3.2299825520689</x:v>
      </x:c>
      <x:c r="G145" s="10" t="n">
        <x:v>0.0000022730870852371</x:v>
      </x:c>
      <x:c r="H145" s="10" t="n">
        <x:v>67.1720407282307</x:v>
      </x:c>
      <x:c r="I145" s="15" t="b">
        <x:v>0</x:v>
      </x:c>
    </x:row>
    <x:row r="146">
      <x:c r="A146" s="10" t="str">
        <x:v>LOC126336888</x:v>
      </x:c>
      <x:c r="B146" s="10" t="str">
        <x:v>glutathione S-transferase 1-1-like</x:v>
      </x:c>
      <x:c r="C146" s="10" t="str">
        <x:v>protein_coding</x:v>
      </x:c>
      <x:c r="D146" s="10" t="str">
        <x:v>Detoxification / stress</x:v>
      </x:c>
      <x:c r="E146" s="10" t="str">
        <x:v>infection_average_all_diets</x:v>
      </x:c>
      <x:c r="F146" s="10" t="n">
        <x:v>1.28762418199269</x:v>
      </x:c>
      <x:c r="G146" s="10" t="n">
        <x:v>0.0030233922936016</x:v>
      </x:c>
      <x:c r="H146" s="10" t="n">
        <x:v>110.263291511541</x:v>
      </x:c>
      <x:c r="I146" s="15" t="b">
        <x:v>0</x:v>
      </x:c>
    </x:row>
    <x:row r="147">
      <x:c r="A147" s="10" t="str">
        <x:v>LOC126337850</x:v>
      </x:c>
      <x:c r="B147" s="10" t="str">
        <x:v>uncharacterized LOC126337850</x:v>
      </x:c>
      <x:c r="C147" s="10" t="str">
        <x:v>protein_coding</x:v>
      </x:c>
      <x:c r="D147" s="10" t="str">
        <x:v>Detoxification / stress</x:v>
      </x:c>
      <x:c r="E147" s="10" t="str">
        <x:v>infection_average_all_diets; infection_diet33; infection_diet50; infection_diet83</x:v>
      </x:c>
      <x:c r="F147" s="10" t="n">
        <x:v>3.90263033850802</x:v>
      </x:c>
      <x:c r="G147" s="10" t="n">
        <x:v>7.053494094687901e-24</x:v>
      </x:c>
      <x:c r="H147" s="10" t="n">
        <x:v>1701.13824046617</x:v>
      </x:c>
      <x:c r="I147" s="15" t="b">
        <x:v>0</x:v>
      </x:c>
    </x:row>
    <x:row r="148">
      <x:c r="A148" s="10" t="str">
        <x:v>LOC126339798</x:v>
      </x:c>
      <x:c r="B148" s="10" t="str">
        <x:v>uncharacterized LOC126339798</x:v>
      </x:c>
      <x:c r="C148" s="10" t="str">
        <x:v>protein_coding</x:v>
      </x:c>
      <x:c r="D148" s="10" t="str">
        <x:v>Detoxification / stress</x:v>
      </x:c>
      <x:c r="E148" s="10" t="str">
        <x:v>infection_diet33</x:v>
      </x:c>
      <x:c r="F148" s="10" t="n">
        <x:v>1.29196882957872</x:v>
      </x:c>
      <x:c r="G148" s="10" t="n">
        <x:v>0.0286089904246525</x:v>
      </x:c>
      <x:c r="H148" s="10" t="n">
        <x:v>10.1715414988477</x:v>
      </x:c>
      <x:c r="I148" s="15" t="b">
        <x:v>0</x:v>
      </x:c>
    </x:row>
    <x:row r="149">
      <x:c r="A149" s="10" t="str">
        <x:v>LOC126353855</x:v>
      </x:c>
      <x:c r="B149" s="10" t="str">
        <x:v>NADPH--cytochrome P450 reductase</x:v>
      </x:c>
      <x:c r="C149" s="10" t="str">
        <x:v>protein_coding</x:v>
      </x:c>
      <x:c r="D149" s="10" t="str">
        <x:v>Detoxification / stress</x:v>
      </x:c>
      <x:c r="E149" s="10" t="str">
        <x:v>infection_average_all_diets; infection_diet33; infection_diet50; infection_diet83</x:v>
      </x:c>
      <x:c r="F149" s="10" t="n">
        <x:v>1.73426753834901</x:v>
      </x:c>
      <x:c r="G149" s="10" t="n">
        <x:v>1.5519519538783199e-12</x:v>
      </x:c>
      <x:c r="H149" s="10" t="n">
        <x:v>3198.89422972925</x:v>
      </x:c>
      <x:c r="I149" s="15" t="b">
        <x:v>0</x:v>
      </x:c>
    </x:row>
    <x:row r="150">
      <x:c r="A150" s="10" t="str">
        <x:v>LOC126354003</x:v>
      </x:c>
      <x:c r="B150" s="10" t="str">
        <x:v>peroxidase-like</x:v>
      </x:c>
      <x:c r="C150" s="10" t="str">
        <x:v>protein_coding</x:v>
      </x:c>
      <x:c r="D150" s="10" t="str">
        <x:v>Detoxification / stress</x:v>
      </x:c>
      <x:c r="E150" s="10" t="str">
        <x:v>infection_diet50</x:v>
      </x:c>
      <x:c r="F150" s="10" t="n">
        <x:v>1.40316288165311</x:v>
      </x:c>
      <x:c r="G150" s="10" t="n">
        <x:v>0.0376739134926927</x:v>
      </x:c>
      <x:c r="H150" s="10" t="n">
        <x:v>15.7932583198701</x:v>
      </x:c>
      <x:c r="I150" s="15" t="b">
        <x:v>0</x:v>
      </x:c>
    </x:row>
    <x:row r="151">
      <x:c r="A151" s="10" t="str">
        <x:v>LOC126354097</x:v>
      </x:c>
      <x:c r="B151" s="10" t="str">
        <x:v>ABC transporter G family member 23-like</x:v>
      </x:c>
      <x:c r="C151" s="10" t="str">
        <x:v>protein_coding</x:v>
      </x:c>
      <x:c r="D151" s="10" t="str">
        <x:v>Detoxification / stress</x:v>
      </x:c>
      <x:c r="E151" s="10" t="str">
        <x:v>infection_diet83</x:v>
      </x:c>
      <x:c r="F151" s="10" t="n">
        <x:v>1.57545188388716</x:v>
      </x:c>
      <x:c r="G151" s="10" t="n">
        <x:v>0.0438007365394118</x:v>
      </x:c>
      <x:c r="H151" s="10" t="n">
        <x:v>579.010275002381</x:v>
      </x:c>
      <x:c r="I151" s="15" t="b">
        <x:v>0</x:v>
      </x:c>
    </x:row>
    <x:row r="152">
      <x:c r="A152" s="10" t="str">
        <x:v>LOC126354172</x:v>
      </x:c>
      <x:c r="B152" s="10" t="str">
        <x:v>cytochrome P450 4C1-like</x:v>
      </x:c>
      <x:c r="C152" s="10" t="str">
        <x:v>protein_coding</x:v>
      </x:c>
      <x:c r="D152" s="10" t="str">
        <x:v>Detoxification / stress</x:v>
      </x:c>
      <x:c r="E152" s="10" t="str">
        <x:v>infection_average_all_diets; infection_diet33</x:v>
      </x:c>
      <x:c r="F152" s="10" t="n">
        <x:v>2.60236353992633</x:v>
      </x:c>
      <x:c r="G152" s="10" t="n">
        <x:v>0.0005647925086816</x:v>
      </x:c>
      <x:c r="H152" s="10" t="n">
        <x:v>23.3106807384809</x:v>
      </x:c>
      <x:c r="I152" s="15" t="b">
        <x:v>0</x:v>
      </x:c>
    </x:row>
    <x:row r="153">
      <x:c r="A153" s="10" t="str">
        <x:v>LOC126354174</x:v>
      </x:c>
      <x:c r="B153" s="10" t="str">
        <x:v>cytochrome P450 4V2-like</x:v>
      </x:c>
      <x:c r="C153" s="10" t="str">
        <x:v>protein_coding</x:v>
      </x:c>
      <x:c r="D153" s="10" t="str">
        <x:v>Detoxification / stress</x:v>
      </x:c>
      <x:c r="E153" s="10" t="str">
        <x:v>infection_average_all_diets; infection_diet50</x:v>
      </x:c>
      <x:c r="F153" s="10" t="n">
        <x:v>2.20689102701736</x:v>
      </x:c>
      <x:c r="G153" s="10" t="n">
        <x:v>0.0010467864895411</x:v>
      </x:c>
      <x:c r="H153" s="10" t="n">
        <x:v>2622.87878229086</x:v>
      </x:c>
      <x:c r="I153" s="15" t="b">
        <x:v>0</x:v>
      </x:c>
    </x:row>
    <x:row r="154">
      <x:c r="A154" s="10" t="str">
        <x:v>LOC126354378</x:v>
      </x:c>
      <x:c r="B154" s="10" t="str">
        <x:v>cytochrome P450 4g15-like</x:v>
      </x:c>
      <x:c r="C154" s="10" t="str">
        <x:v>protein_coding</x:v>
      </x:c>
      <x:c r="D154" s="10" t="str">
        <x:v>Detoxification / stress</x:v>
      </x:c>
      <x:c r="E154" s="10" t="str">
        <x:v>infection_diet50</x:v>
      </x:c>
      <x:c r="F154" s="10" t="n">
        <x:v>2.57633871716645</x:v>
      </x:c>
      <x:c r="G154" s="10" t="n">
        <x:v>0.0359161065205973</x:v>
      </x:c>
      <x:c r="H154" s="10" t="n">
        <x:v>173.899499300958</x:v>
      </x:c>
      <x:c r="I154" s="15" t="b">
        <x:v>0</x:v>
      </x:c>
    </x:row>
    <x:row r="155">
      <x:c r="A155" s="10" t="str">
        <x:v>LOC126354439</x:v>
      </x:c>
      <x:c r="B155" s="10" t="str">
        <x:v>superoxide dismutase [Cu-Zn]-like</x:v>
      </x:c>
      <x:c r="C155" s="10" t="str">
        <x:v>protein_coding</x:v>
      </x:c>
      <x:c r="D155" s="10" t="str">
        <x:v>Detoxification / stress</x:v>
      </x:c>
      <x:c r="E155" s="10" t="str">
        <x:v>infection_diet50</x:v>
      </x:c>
      <x:c r="F155" s="10" t="n">
        <x:v>1.9563758791007</x:v>
      </x:c>
      <x:c r="G155" s="10" t="n">
        <x:v>0.0329915000400006</x:v>
      </x:c>
      <x:c r="H155" s="10" t="n">
        <x:v>30.4244030891477</x:v>
      </x:c>
      <x:c r="I155" s="15" t="b">
        <x:v>0</x:v>
      </x:c>
    </x:row>
    <x:row r="156">
      <x:c r="A156" s="10" t="str">
        <x:v>LOC126354477</x:v>
      </x:c>
      <x:c r="B156" s="10" t="str">
        <x:v>ABC transporter G family member 23</x:v>
      </x:c>
      <x:c r="C156" s="10" t="str">
        <x:v>protein_coding</x:v>
      </x:c>
      <x:c r="D156" s="10" t="str">
        <x:v>Detoxification / stress</x:v>
      </x:c>
      <x:c r="E156" s="10" t="str">
        <x:v>infection_average_all_diets; infection_diet50; infection_diet83</x:v>
      </x:c>
      <x:c r="F156" s="10" t="n">
        <x:v>1.40221749444682</x:v>
      </x:c>
      <x:c r="G156" s="10" t="n">
        <x:v>0.0000081795930008549</x:v>
      </x:c>
      <x:c r="H156" s="10" t="n">
        <x:v>81.9604872702531</x:v>
      </x:c>
      <x:c r="I156" s="15" t="b">
        <x:v>0</x:v>
      </x:c>
    </x:row>
    <x:row r="157">
      <x:c r="A157" s="10" t="str">
        <x:v>LOC126354485</x:v>
      </x:c>
      <x:c r="B157" s="10" t="str">
        <x:v>cytochrome P450 4g15-like</x:v>
      </x:c>
      <x:c r="C157" s="10" t="str">
        <x:v>protein_coding</x:v>
      </x:c>
      <x:c r="D157" s="10" t="str">
        <x:v>Detoxification / stress</x:v>
      </x:c>
      <x:c r="E157" s="10" t="str">
        <x:v>infection_average_all_diets; infection_diet50</x:v>
      </x:c>
      <x:c r="F157" s="10" t="n">
        <x:v>2.6300470501557</x:v>
      </x:c>
      <x:c r="G157" s="10" t="n">
        <x:v>0.0000990934036980122</x:v>
      </x:c>
      <x:c r="H157" s="10" t="n">
        <x:v>38.3784813686693</x:v>
      </x:c>
      <x:c r="I157" s="15" t="b">
        <x:v>0</x:v>
      </x:c>
    </x:row>
    <x:row r="158">
      <x:c r="A158" s="10" t="str">
        <x:v>LOC126354504</x:v>
      </x:c>
      <x:c r="B158" s="10" t="str">
        <x:v>NADH-ubiquinone oxidoreductase chain 5-like</x:v>
      </x:c>
      <x:c r="C158" s="10" t="str">
        <x:v>protein_coding</x:v>
      </x:c>
      <x:c r="D158" s="10" t="str">
        <x:v>Detoxification / stress</x:v>
      </x:c>
      <x:c r="E158" s="10" t="str">
        <x:v>infection_diet33</x:v>
      </x:c>
      <x:c r="F158" s="10" t="n">
        <x:v>1.75284706256678</x:v>
      </x:c>
      <x:c r="G158" s="10" t="n">
        <x:v>0.0235007514399084</x:v>
      </x:c>
      <x:c r="H158" s="10" t="n">
        <x:v>241.129514913384</x:v>
      </x:c>
      <x:c r="I158" s="15" t="b">
        <x:v>0</x:v>
      </x:c>
    </x:row>
    <x:row r="159">
      <x:c r="A159" s="10" t="str">
        <x:v>LOC126354588</x:v>
      </x:c>
      <x:c r="B159" s="10" t="str">
        <x:v>ribonucleoside-diphosphate reductase subunit M2 B-like</x:v>
      </x:c>
      <x:c r="C159" s="10" t="str">
        <x:v>protein_coding</x:v>
      </x:c>
      <x:c r="D159" s="10" t="str">
        <x:v>Detoxification / stress</x:v>
      </x:c>
      <x:c r="E159" s="10" t="str">
        <x:v>infection_diet33</x:v>
      </x:c>
      <x:c r="F159" s="10" t="n">
        <x:v>1.26858472991847</x:v>
      </x:c>
      <x:c r="G159" s="10" t="n">
        <x:v>0.0046802044611331</x:v>
      </x:c>
      <x:c r="H159" s="10" t="n">
        <x:v>44.3187912195483</x:v>
      </x:c>
      <x:c r="I159" s="15" t="b">
        <x:v>0</x:v>
      </x:c>
    </x:row>
    <x:row r="160">
      <x:c r="A160" s="10" t="str">
        <x:v>LOC126355419</x:v>
      </x:c>
      <x:c r="B160" s="10" t="str">
        <x:v>cytochrome P450 4C1-like</x:v>
      </x:c>
      <x:c r="C160" s="10" t="str">
        <x:v>protein_coding</x:v>
      </x:c>
      <x:c r="D160" s="10" t="str">
        <x:v>Detoxification / stress</x:v>
      </x:c>
      <x:c r="E160" s="10" t="str">
        <x:v>infection_average_all_diets; infection_diet33</x:v>
      </x:c>
      <x:c r="F160" s="10" t="n">
        <x:v>2.08224738102636</x:v>
      </x:c>
      <x:c r="G160" s="10" t="n">
        <x:v>0.0068779598361462</x:v>
      </x:c>
      <x:c r="H160" s="10" t="n">
        <x:v>27.3438804049171</x:v>
      </x:c>
      <x:c r="I160" s="15" t="b">
        <x:v>0</x:v>
      </x:c>
    </x:row>
    <x:row r="161">
      <x:c r="A161" s="10" t="str">
        <x:v>LOC126355443</x:v>
      </x:c>
      <x:c r="B161" s="10" t="str">
        <x:v>acetylcholinesterase-like</x:v>
      </x:c>
      <x:c r="C161" s="10" t="str">
        <x:v>protein_coding</x:v>
      </x:c>
      <x:c r="D161" s="10" t="str">
        <x:v>Detoxification / stress</x:v>
      </x:c>
      <x:c r="E161" s="10" t="str">
        <x:v>infection_average_all_diets</x:v>
      </x:c>
      <x:c r="F161" s="10" t="n">
        <x:v>1.05257068820239</x:v>
      </x:c>
      <x:c r="G161" s="10" t="n">
        <x:v>0.027826988895766</x:v>
      </x:c>
      <x:c r="H161" s="10" t="n">
        <x:v>410.837356224505</x:v>
      </x:c>
      <x:c r="I161" s="15" t="b">
        <x:v>0</x:v>
      </x:c>
    </x:row>
    <x:row r="162">
      <x:c r="A162" s="10" t="str">
        <x:v>LOC126355596</x:v>
      </x:c>
      <x:c r="B162" s="10" t="str">
        <x:v>dual oxidase</x:v>
      </x:c>
      <x:c r="C162" s="10" t="str">
        <x:v>protein_coding</x:v>
      </x:c>
      <x:c r="D162" s="10" t="str">
        <x:v>Detoxification / stress</x:v>
      </x:c>
      <x:c r="E162" s="10" t="str">
        <x:v>infection_diet83</x:v>
      </x:c>
      <x:c r="F162" s="10" t="n">
        <x:v>1.64400322595687</x:v>
      </x:c>
      <x:c r="G162" s="10" t="n">
        <x:v>0.0472596269827809</x:v>
      </x:c>
      <x:c r="H162" s="10" t="n">
        <x:v>167.657455777372</x:v>
      </x:c>
      <x:c r="I162" s="15" t="b">
        <x:v>0</x:v>
      </x:c>
    </x:row>
    <x:row r="163">
      <x:c r="A163" s="10" t="str">
        <x:v>LOC126355825</x:v>
      </x:c>
      <x:c r="B163" s="10" t="str">
        <x:v>peroxidase-like</x:v>
      </x:c>
      <x:c r="C163" s="10" t="str">
        <x:v>protein_coding</x:v>
      </x:c>
      <x:c r="D163" s="10" t="str">
        <x:v>Detoxification / stress</x:v>
      </x:c>
      <x:c r="E163" s="10" t="str">
        <x:v>infection_diet83</x:v>
      </x:c>
      <x:c r="F163" s="10" t="n">
        <x:v>1.63066347145928</x:v>
      </x:c>
      <x:c r="G163" s="10" t="n">
        <x:v>0.0137237860773542</x:v>
      </x:c>
      <x:c r="H163" s="10" t="n">
        <x:v>28.1228161977594</x:v>
      </x:c>
      <x:c r="I163" s="15" t="b">
        <x:v>0</x:v>
      </x:c>
    </x:row>
    <x:row r="164">
      <x:c r="A164" s="10" t="str">
        <x:v>LOC126355831</x:v>
      </x:c>
      <x:c r="B164" s="10" t="str">
        <x:v>heat shock protein 70 A1-like</x:v>
      </x:c>
      <x:c r="C164" s="10" t="str">
        <x:v>protein_coding</x:v>
      </x:c>
      <x:c r="D164" s="10" t="str">
        <x:v>Detoxification / stress</x:v>
      </x:c>
      <x:c r="E164" s="10" t="str">
        <x:v>infection_average_all_diets; infection_diet33; infection_diet50</x:v>
      </x:c>
      <x:c r="F164" s="10" t="n">
        <x:v>8.04713517019173</x:v>
      </x:c>
      <x:c r="G164" s="10" t="n">
        <x:v>1.06909367316539e-8</x:v>
      </x:c>
      <x:c r="H164" s="10" t="n">
        <x:v>61.3443031965539</x:v>
      </x:c>
      <x:c r="I164" s="15" t="b">
        <x:v>1</x:v>
      </x:c>
    </x:row>
    <x:row r="165">
      <x:c r="A165" s="10" t="str">
        <x:v>LOC126355838</x:v>
      </x:c>
      <x:c r="B165" s="10" t="str">
        <x:v>heat shock protein 70 A1-like</x:v>
      </x:c>
      <x:c r="C165" s="10" t="str">
        <x:v>protein_coding</x:v>
      </x:c>
      <x:c r="D165" s="10" t="str">
        <x:v>Detoxification / stress</x:v>
      </x:c>
      <x:c r="E165" s="10" t="str">
        <x:v>infection_average_all_diets; infection_diet33; infection_diet50</x:v>
      </x:c>
      <x:c r="F165" s="10" t="n">
        <x:v>8.75270364381138</x:v>
      </x:c>
      <x:c r="G165" s="10" t="n">
        <x:v>1.57831031543451e-8</x:v>
      </x:c>
      <x:c r="H165" s="10" t="n">
        <x:v>56.5473054270645</x:v>
      </x:c>
      <x:c r="I165" s="15" t="b">
        <x:v>1</x:v>
      </x:c>
    </x:row>
    <x:row r="166">
      <x:c r="A166" s="10" t="str">
        <x:v>LOC126356075</x:v>
      </x:c>
      <x:c r="B166" s="10" t="str">
        <x:v>NADH-ubiquinone oxidoreductase chain 5-like</x:v>
      </x:c>
      <x:c r="C166" s="10" t="str">
        <x:v>protein_coding</x:v>
      </x:c>
      <x:c r="D166" s="10" t="str">
        <x:v>Detoxification / stress</x:v>
      </x:c>
      <x:c r="E166" s="10" t="str">
        <x:v>infection_average_all_diets; infection_diet33; infection_diet50; infection_diet83</x:v>
      </x:c>
      <x:c r="F166" s="10" t="n">
        <x:v>4.82209547043953</x:v>
      </x:c>
      <x:c r="G166" s="10" t="n">
        <x:v>0.00000284649990481988</x:v>
      </x:c>
      <x:c r="H166" s="10" t="n">
        <x:v>50.4034918067883</x:v>
      </x:c>
      <x:c r="I166" s="15" t="b">
        <x:v>0</x:v>
      </x:c>
    </x:row>
    <x:row r="167">
      <x:c r="A167" s="10" t="str">
        <x:v>LOC126365371</x:v>
      </x:c>
      <x:c r="B167" s="10" t="str">
        <x:v>neuroligin-1-like</x:v>
      </x:c>
      <x:c r="C167" s="10" t="str">
        <x:v>protein_coding</x:v>
      </x:c>
      <x:c r="D167" s="10" t="str">
        <x:v>Detoxification / stress</x:v>
      </x:c>
      <x:c r="E167" s="10" t="str">
        <x:v>infection_diet50</x:v>
      </x:c>
      <x:c r="F167" s="10" t="n">
        <x:v>1.68127150532294</x:v>
      </x:c>
      <x:c r="G167" s="10" t="n">
        <x:v>0.0448158030971309</x:v>
      </x:c>
      <x:c r="H167" s="10" t="n">
        <x:v>49.2936314884446</x:v>
      </x:c>
      <x:c r="I167" s="15" t="b">
        <x:v>0</x:v>
      </x:c>
    </x:row>
    <x:row r="168">
      <x:c r="A168" s="10" t="str">
        <x:v>LOC126365834</x:v>
      </x:c>
      <x:c r="B168" s="10" t="str">
        <x:v>aldehyde dehydrogenase 1A1-like</x:v>
      </x:c>
      <x:c r="C168" s="10" t="str">
        <x:v>protein_coding</x:v>
      </x:c>
      <x:c r="D168" s="10" t="str">
        <x:v>Detoxification / stress</x:v>
      </x:c>
      <x:c r="E168" s="10" t="str">
        <x:v>infection_average_all_diets; infection_diet50</x:v>
      </x:c>
      <x:c r="F168" s="10" t="n">
        <x:v>2.16849495782272</x:v>
      </x:c>
      <x:c r="G168" s="10" t="n">
        <x:v>0.0010464289457486</x:v>
      </x:c>
      <x:c r="H168" s="10" t="n">
        <x:v>998.497644648814</x:v>
      </x:c>
      <x:c r="I168" s="15" t="b">
        <x:v>0</x:v>
      </x:c>
    </x:row>
    <x:row r="169">
      <x:c r="A169" s="10" t="str">
        <x:v>LOC126365952</x:v>
      </x:c>
      <x:c r="B169" s="10" t="str">
        <x:v>PC-esterase domain-containing protein 1A-like</x:v>
      </x:c>
      <x:c r="C169" s="10" t="str">
        <x:v>protein_coding</x:v>
      </x:c>
      <x:c r="D169" s="10" t="str">
        <x:v>Detoxification / stress</x:v>
      </x:c>
      <x:c r="E169" s="10" t="str">
        <x:v>infection_average_all_diets; infection_diet50</x:v>
      </x:c>
      <x:c r="F169" s="10" t="n">
        <x:v>2.1486939790849</x:v>
      </x:c>
      <x:c r="G169" s="10" t="n">
        <x:v>0.0004437331167282</x:v>
      </x:c>
      <x:c r="H169" s="10" t="n">
        <x:v>21.6886044898651</x:v>
      </x:c>
      <x:c r="I169" s="15" t="b">
        <x:v>0</x:v>
      </x:c>
    </x:row>
    <x:row r="170">
      <x:c r="A170" s="10" t="str">
        <x:v>LOC126365968</x:v>
      </x:c>
      <x:c r="B170" s="10" t="str">
        <x:v>probable cytochrome P450 301a1, mitochondrial</x:v>
      </x:c>
      <x:c r="C170" s="10" t="str">
        <x:v>protein_coding</x:v>
      </x:c>
      <x:c r="D170" s="10" t="str">
        <x:v>Detoxification / stress</x:v>
      </x:c>
      <x:c r="E170" s="10" t="str">
        <x:v>infection_average_all_diets</x:v>
      </x:c>
      <x:c r="F170" s="10" t="n">
        <x:v>1.3236014503459</x:v>
      </x:c>
      <x:c r="G170" s="10" t="n">
        <x:v>0.0014542708251015</x:v>
      </x:c>
      <x:c r="H170" s="10" t="n">
        <x:v>432.918650862738</x:v>
      </x:c>
      <x:c r="I170" s="15" t="b">
        <x:v>0</x:v>
      </x:c>
    </x:row>
    <x:row r="171">
      <x:c r="A171" s="10" t="str">
        <x:v>LOC126365969</x:v>
      </x:c>
      <x:c r="B171" s="10" t="str">
        <x:v>probable cytochrome P450 301a1, mitochondrial</x:v>
      </x:c>
      <x:c r="C171" s="10" t="str">
        <x:v>protein_coding</x:v>
      </x:c>
      <x:c r="D171" s="10" t="str">
        <x:v>Detoxification / stress</x:v>
      </x:c>
      <x:c r="E171" s="10" t="str">
        <x:v>infection_average_all_diets; infection_diet33; infection_diet50</x:v>
      </x:c>
      <x:c r="F171" s="10" t="n">
        <x:v>1.46536104232335</x:v>
      </x:c>
      <x:c r="G171" s="10" t="n">
        <x:v>0.0000375939354994491</x:v>
      </x:c>
      <x:c r="H171" s="10" t="n">
        <x:v>505.921546697198</x:v>
      </x:c>
      <x:c r="I171" s="15" t="b">
        <x:v>0</x:v>
      </x:c>
    </x:row>
    <x:row r="172">
      <x:c r="A172" s="10" t="str">
        <x:v>LOC126271919</x:v>
      </x:c>
      <x:c r="B172" s="10" t="str">
        <x:v>glycerophosphocholine phosphodiesterase GPCPD1-like</x:v>
      </x:c>
      <x:c r="C172" s="10" t="str">
        <x:v>protein_coding</x:v>
      </x:c>
      <x:c r="D172" s="10" t="str">
        <x:v>Glycogen synthesis / storage</x:v>
      </x:c>
      <x:c r="E172" s="10" t="str">
        <x:v>infection_diet33</x:v>
      </x:c>
      <x:c r="F172" s="10" t="n">
        <x:v>1.24915654655648</x:v>
      </x:c>
      <x:c r="G172" s="10" t="n">
        <x:v>0.0005141053020359</x:v>
      </x:c>
      <x:c r="H172" s="10" t="n">
        <x:v>987.207594451211</x:v>
      </x:c>
      <x:c r="I172" s="15" t="b">
        <x:v>0</x:v>
      </x:c>
    </x:row>
    <x:row r="173">
      <x:c r="A173" s="10" t="str">
        <x:v>LOC126281478</x:v>
      </x:c>
      <x:c r="B173" s="10" t="str">
        <x:v>glycogen-binding subunit 76A</x:v>
      </x:c>
      <x:c r="C173" s="10" t="str">
        <x:v>protein_coding</x:v>
      </x:c>
      <x:c r="D173" s="10" t="str">
        <x:v>Glycogen synthesis / storage</x:v>
      </x:c>
      <x:c r="E173" s="10" t="str">
        <x:v>infection_average_all_diets</x:v>
      </x:c>
      <x:c r="F173" s="10" t="n">
        <x:v>1.10221283847617</x:v>
      </x:c>
      <x:c r="G173" s="10" t="n">
        <x:v>0.003727838726727</x:v>
      </x:c>
      <x:c r="H173" s="10" t="n">
        <x:v>640.027677153847</x:v>
      </x:c>
      <x:c r="I173" s="15" t="b">
        <x:v>0</x:v>
      </x:c>
    </x:row>
    <x:row r="174">
      <x:c r="A174" s="10" t="str">
        <x:v>LOC126266759</x:v>
      </x:c>
      <x:c r="B174" s="10" t="str">
        <x:v>uncharacterized LOC126266759</x:v>
      </x:c>
      <x:c r="C174" s="10" t="str">
        <x:v>protein_coding</x:v>
      </x:c>
      <x:c r="D174" s="10" t="str">
        <x:v>Immune-related</x:v>
      </x:c>
      <x:c r="E174" s="10" t="str">
        <x:v>infection_average_all_diets; infection_diet33; infection_diet50; infection_diet83</x:v>
      </x:c>
      <x:c r="F174" s="10" t="n">
        <x:v>3.03865395293523</x:v>
      </x:c>
      <x:c r="G174" s="10" t="n">
        <x:v>8.334982794418909e-28</x:v>
      </x:c>
      <x:c r="H174" s="10" t="n">
        <x:v>476.802424989113</x:v>
      </x:c>
      <x:c r="I174" s="15" t="b">
        <x:v>0</x:v>
      </x:c>
    </x:row>
    <x:row r="175">
      <x:c r="A175" s="10" t="str">
        <x:v>LOC126266760</x:v>
      </x:c>
      <x:c r="B175" s="10" t="str">
        <x:v>peptidoglycan recognition protein-like</x:v>
      </x:c>
      <x:c r="C175" s="10" t="str">
        <x:v>protein_coding</x:v>
      </x:c>
      <x:c r="D175" s="10" t="str">
        <x:v>Immune-related</x:v>
      </x:c>
      <x:c r="E175" s="10" t="str">
        <x:v>infection_average_all_diets; infection_diet33; infection_diet50; infection_diet83</x:v>
      </x:c>
      <x:c r="F175" s="10" t="n">
        <x:v>2.63275030110292</x:v>
      </x:c>
      <x:c r="G175" s="10" t="n">
        <x:v>1.3309112027591001e-20</x:v>
      </x:c>
      <x:c r="H175" s="10" t="n">
        <x:v>393.733318544384</x:v>
      </x:c>
      <x:c r="I175" s="15" t="b">
        <x:v>0</x:v>
      </x:c>
    </x:row>
    <x:row r="176">
      <x:c r="A176" s="10" t="str">
        <x:v>LOC126266799</x:v>
      </x:c>
      <x:c r="B176" s="10" t="str">
        <x:v>follistatin-related protein 5-like</x:v>
      </x:c>
      <x:c r="C176" s="10" t="str">
        <x:v>protein_coding</x:v>
      </x:c>
      <x:c r="D176" s="10" t="str">
        <x:v>Immune-related</x:v>
      </x:c>
      <x:c r="E176" s="10" t="str">
        <x:v>infection_diet50</x:v>
      </x:c>
      <x:c r="F176" s="10" t="n">
        <x:v>1.32117936997548</x:v>
      </x:c>
      <x:c r="G176" s="10" t="n">
        <x:v>0.0388694996286575</x:v>
      </x:c>
      <x:c r="H176" s="10" t="n">
        <x:v>49.6561915275716</x:v>
      </x:c>
      <x:c r="I176" s="15" t="b">
        <x:v>0</x:v>
      </x:c>
    </x:row>
    <x:row r="177">
      <x:c r="A177" s="10" t="str">
        <x:v>LOC126267038</x:v>
      </x:c>
      <x:c r="B177" s="10" t="str">
        <x:v>signal transducer and activator of transcription 5A</x:v>
      </x:c>
      <x:c r="C177" s="10" t="str">
        <x:v>protein_coding</x:v>
      </x:c>
      <x:c r="D177" s="10" t="str">
        <x:v>Immune-related</x:v>
      </x:c>
      <x:c r="E177" s="10" t="str">
        <x:v>infection_average_all_diets; infection_diet33; infection_diet50; infection_diet83</x:v>
      </x:c>
      <x:c r="F177" s="10" t="n">
        <x:v>1.29336239194164</x:v>
      </x:c>
      <x:c r="G177" s="10" t="n">
        <x:v>8.11486810451076e-17</x:v>
      </x:c>
      <x:c r="H177" s="10" t="n">
        <x:v>1868.93395734428</x:v>
      </x:c>
      <x:c r="I177" s="15" t="b">
        <x:v>0</x:v>
      </x:c>
    </x:row>
    <x:row r="178">
      <x:c r="A178" s="10" t="str">
        <x:v>LOC126267148</x:v>
      </x:c>
      <x:c r="B178" s="10" t="str">
        <x:v>uncharacterized LOC126267148</x:v>
      </x:c>
      <x:c r="C178" s="10" t="str">
        <x:v>protein_coding</x:v>
      </x:c>
      <x:c r="D178" s="10" t="str">
        <x:v>Immune-related</x:v>
      </x:c>
      <x:c r="E178" s="10" t="str">
        <x:v>infected_diet83_vs33; infected_diet83_vs50; infection_diet50; infection_diet83</x:v>
      </x:c>
      <x:c r="F178" s="10" t="n">
        <x:v>4.36751269349892</x:v>
      </x:c>
      <x:c r="G178" s="10" t="n">
        <x:v>0.0148421453505754</x:v>
      </x:c>
      <x:c r="H178" s="10" t="n">
        <x:v>23.9762910516282</x:v>
      </x:c>
      <x:c r="I178" s="15" t="b">
        <x:v>0</x:v>
      </x:c>
    </x:row>
    <x:row r="179">
      <x:c r="A179" s="10" t="str">
        <x:v>LOC126267163</x:v>
      </x:c>
      <x:c r="B179" s="10" t="str">
        <x:v>peptidoglycan-recognition protein SA-like</x:v>
      </x:c>
      <x:c r="C179" s="10" t="str">
        <x:v>protein_coding</x:v>
      </x:c>
      <x:c r="D179" s="10" t="str">
        <x:v>Immune-related</x:v>
      </x:c>
      <x:c r="E179" s="10" t="str">
        <x:v>infection_average_all_diets; infection_diet33; infection_diet50; infection_diet83</x:v>
      </x:c>
      <x:c r="F179" s="10" t="n">
        <x:v>3.57686747423888</x:v>
      </x:c>
      <x:c r="G179" s="10" t="n">
        <x:v>3.68504196182036e-24</x:v>
      </x:c>
      <x:c r="H179" s="10" t="n">
        <x:v>2092.08910959421</x:v>
      </x:c>
      <x:c r="I179" s="15" t="b">
        <x:v>0</x:v>
      </x:c>
    </x:row>
    <x:row r="180">
      <x:c r="A180" s="10" t="str">
        <x:v>LOC126267343</x:v>
      </x:c>
      <x:c r="B180" s="10" t="str">
        <x:v>uncharacterized LOC126267343</x:v>
      </x:c>
      <x:c r="C180" s="10" t="str">
        <x:v>protein_coding</x:v>
      </x:c>
      <x:c r="D180" s="10" t="str">
        <x:v>Immune-related</x:v>
      </x:c>
      <x:c r="E180" s="10" t="str">
        <x:v>infection_average_all_diets; infection_diet33; infection_diet50; infection_diet83</x:v>
      </x:c>
      <x:c r="F180" s="10" t="n">
        <x:v>2.14928073623701</x:v>
      </x:c>
      <x:c r="G180" s="10" t="n">
        <x:v>8.10471524611509e-18</x:v>
      </x:c>
      <x:c r="H180" s="10" t="n">
        <x:v>973.431577198816</x:v>
      </x:c>
      <x:c r="I180" s="15" t="b">
        <x:v>0</x:v>
      </x:c>
    </x:row>
    <x:row r="181">
      <x:c r="A181" s="10" t="str">
        <x:v>LOC126267439</x:v>
      </x:c>
      <x:c r="B181" s="10" t="str">
        <x:v>locomotion-related protein Hikaru genki-like</x:v>
      </x:c>
      <x:c r="C181" s="10" t="str">
        <x:v>protein_coding</x:v>
      </x:c>
      <x:c r="D181" s="10" t="str">
        <x:v>Immune-related</x:v>
      </x:c>
      <x:c r="E181" s="10" t="str">
        <x:v>infection_diet50</x:v>
      </x:c>
      <x:c r="F181" s="10" t="n">
        <x:v>2.13688804213838</x:v>
      </x:c>
      <x:c r="G181" s="10" t="n">
        <x:v>0.0056858134317479</x:v>
      </x:c>
      <x:c r="H181" s="10" t="n">
        <x:v>29.4395545203793</x:v>
      </x:c>
      <x:c r="I181" s="15" t="b">
        <x:v>0</x:v>
      </x:c>
    </x:row>
    <x:row r="182">
      <x:c r="A182" s="10" t="str">
        <x:v>LOC126267477</x:v>
      </x:c>
      <x:c r="B182" s="10" t="str">
        <x:v>kininogen-1-like</x:v>
      </x:c>
      <x:c r="C182" s="10" t="str">
        <x:v>protein_coding</x:v>
      </x:c>
      <x:c r="D182" s="10" t="str">
        <x:v>Immune-related</x:v>
      </x:c>
      <x:c r="E182" s="10" t="str">
        <x:v>infected_diet33_vs50; infection_diet50</x:v>
      </x:c>
      <x:c r="F182" s="10" t="n">
        <x:v>1.70136284793054</x:v>
      </x:c>
      <x:c r="G182" s="10" t="n">
        <x:v>0.0000826640663697341</x:v>
      </x:c>
      <x:c r="H182" s="10" t="n">
        <x:v>11859.2889698075</x:v>
      </x:c>
      <x:c r="I182" s="15" t="b">
        <x:v>0</x:v>
      </x:c>
    </x:row>
    <x:row r="183">
      <x:c r="A183" s="10" t="str">
        <x:v>LOC126267652</x:v>
      </x:c>
      <x:c r="B183" s="10" t="str">
        <x:v>peptidoglycan-recognition protein SC1a-like</x:v>
      </x:c>
      <x:c r="C183" s="10" t="str">
        <x:v>protein_coding</x:v>
      </x:c>
      <x:c r="D183" s="10" t="str">
        <x:v>Immune-related</x:v>
      </x:c>
      <x:c r="E183" s="10" t="str">
        <x:v>infection_average_all_diets; infection_diet33; infection_diet50; infection_diet83</x:v>
      </x:c>
      <x:c r="F183" s="10" t="n">
        <x:v>3.09292458254287</x:v>
      </x:c>
      <x:c r="G183" s="10" t="n">
        <x:v>1.7278433589959198e-18</x:v>
      </x:c>
      <x:c r="H183" s="10" t="n">
        <x:v>88.8023947547444</x:v>
      </x:c>
      <x:c r="I183" s="15" t="b">
        <x:v>0</x:v>
      </x:c>
    </x:row>
    <x:row r="184">
      <x:c r="A184" s="10" t="str">
        <x:v>LOC126269044</x:v>
      </x:c>
      <x:c r="B184" s="10" t="str">
        <x:v>serine-rich adhesin for platelets-like</x:v>
      </x:c>
      <x:c r="C184" s="10" t="str">
        <x:v>protein_coding</x:v>
      </x:c>
      <x:c r="D184" s="10" t="str">
        <x:v>Immune-related</x:v>
      </x:c>
      <x:c r="E184" s="10" t="str">
        <x:v>infected_diet83_vs33; infected_diet83_vs50; infection_diet50</x:v>
      </x:c>
      <x:c r="F184" s="10" t="n">
        <x:v>3.43263003663927</x:v>
      </x:c>
      <x:c r="G184" s="10" t="n">
        <x:v>0.0020544189910164</x:v>
      </x:c>
      <x:c r="H184" s="10" t="n">
        <x:v>188.423436060133</x:v>
      </x:c>
      <x:c r="I184" s="15" t="b">
        <x:v>1</x:v>
      </x:c>
    </x:row>
    <x:row r="185">
      <x:c r="A185" s="10" t="str">
        <x:v>LOC126270294</x:v>
      </x:c>
      <x:c r="B185" s="10" t="str">
        <x:v>beta-1,3-glucan-binding protein-like</x:v>
      </x:c>
      <x:c r="C185" s="10" t="str">
        <x:v>protein_coding</x:v>
      </x:c>
      <x:c r="D185" s="10" t="str">
        <x:v>Immune-related</x:v>
      </x:c>
      <x:c r="E185" s="10" t="str">
        <x:v>infection_average_all_diets; infection_diet33; infection_diet50</x:v>
      </x:c>
      <x:c r="F185" s="10" t="n">
        <x:v>1.79134230505473</x:v>
      </x:c>
      <x:c r="G185" s="10" t="n">
        <x:v>0.0000414851442158941</x:v>
      </x:c>
      <x:c r="H185" s="10" t="n">
        <x:v>815.595381736257</x:v>
      </x:c>
      <x:c r="I185" s="15" t="b">
        <x:v>0</x:v>
      </x:c>
    </x:row>
    <x:row r="186">
      <x:c r="A186" s="10" t="str">
        <x:v>LOC126270956</x:v>
      </x:c>
      <x:c r="B186" s="10" t="str">
        <x:v>follistatin-related protein 5-like</x:v>
      </x:c>
      <x:c r="C186" s="10" t="str">
        <x:v>protein_coding</x:v>
      </x:c>
      <x:c r="D186" s="10" t="str">
        <x:v>Immune-related</x:v>
      </x:c>
      <x:c r="E186" s="10" t="str">
        <x:v>infection_diet50</x:v>
      </x:c>
      <x:c r="F186" s="10" t="n">
        <x:v>2.13923839973574</x:v>
      </x:c>
      <x:c r="G186" s="10" t="n">
        <x:v>0.0046223158899822</x:v>
      </x:c>
      <x:c r="H186" s="10" t="n">
        <x:v>46.3018535298871</x:v>
      </x:c>
      <x:c r="I186" s="15" t="b">
        <x:v>0</x:v>
      </x:c>
    </x:row>
    <x:row r="187">
      <x:c r="A187" s="10" t="str">
        <x:v>LOC126271991</x:v>
      </x:c>
      <x:c r="B187" s="10" t="str">
        <x:v>protein MTSS 2</x:v>
      </x:c>
      <x:c r="C187" s="10" t="str">
        <x:v>protein_coding</x:v>
      </x:c>
      <x:c r="D187" s="10" t="str">
        <x:v>Immune-related</x:v>
      </x:c>
      <x:c r="E187" s="10" t="str">
        <x:v>infection_diet50</x:v>
      </x:c>
      <x:c r="F187" s="10" t="n">
        <x:v>1.04028446132822</x:v>
      </x:c>
      <x:c r="G187" s="10" t="n">
        <x:v>0.000097208548152294</x:v>
      </x:c>
      <x:c r="H187" s="10" t="n">
        <x:v>2683.60594090843</x:v>
      </x:c>
      <x:c r="I187" s="15" t="b">
        <x:v>0</x:v>
      </x:c>
    </x:row>
    <x:row r="188">
      <x:c r="A188" s="10" t="str">
        <x:v>LOC126272566</x:v>
      </x:c>
      <x:c r="B188" s="10" t="str">
        <x:v>malectin-A</x:v>
      </x:c>
      <x:c r="C188" s="10" t="str">
        <x:v>protein_coding</x:v>
      </x:c>
      <x:c r="D188" s="10" t="str">
        <x:v>Immune-related</x:v>
      </x:c>
      <x:c r="E188" s="10" t="str">
        <x:v>infection_diet50</x:v>
      </x:c>
      <x:c r="F188" s="10" t="n">
        <x:v>1.10521668485304</x:v>
      </x:c>
      <x:c r="G188" s="10" t="n">
        <x:v>0.0055018124955632</x:v>
      </x:c>
      <x:c r="H188" s="10" t="n">
        <x:v>462.937936749424</x:v>
      </x:c>
      <x:c r="I188" s="15" t="b">
        <x:v>0</x:v>
      </x:c>
    </x:row>
    <x:row r="189">
      <x:c r="A189" s="10" t="str">
        <x:v>LOC126273193</x:v>
      </x:c>
      <x:c r="B189" s="10" t="str">
        <x:v>uncharacterized LOC126273193</x:v>
      </x:c>
      <x:c r="C189" s="10" t="str">
        <x:v>protein_coding</x:v>
      </x:c>
      <x:c r="D189" s="10" t="str">
        <x:v>Immune-related</x:v>
      </x:c>
      <x:c r="E189" s="10" t="str">
        <x:v>infected_diet33_vs50; infection_diet50</x:v>
      </x:c>
      <x:c r="F189" s="10" t="n">
        <x:v>2.88620161314457</x:v>
      </x:c>
      <x:c r="G189" s="10" t="n">
        <x:v>0.0008269699223822</x:v>
      </x:c>
      <x:c r="H189" s="10" t="n">
        <x:v>61.7596957320475</x:v>
      </x:c>
      <x:c r="I189" s="15" t="b">
        <x:v>0</x:v>
      </x:c>
    </x:row>
    <x:row r="190">
      <x:c r="A190" s="10" t="str">
        <x:v>LOC126278177</x:v>
      </x:c>
      <x:c r="B190" s="10" t="str">
        <x:v>polypeptide N-acetylgalactosaminyltransferase 2</x:v>
      </x:c>
      <x:c r="C190" s="10" t="str">
        <x:v>protein_coding</x:v>
      </x:c>
      <x:c r="D190" s="10" t="str">
        <x:v>Immune-related</x:v>
      </x:c>
      <x:c r="E190" s="10" t="str">
        <x:v>infection_average_all_diets; infection_diet33; infection_diet50; infection_diet83</x:v>
      </x:c>
      <x:c r="F190" s="10" t="n">
        <x:v>1.71789122805478</x:v>
      </x:c>
      <x:c r="G190" s="10" t="n">
        <x:v>2.80167032799832e-19</x:v>
      </x:c>
      <x:c r="H190" s="10" t="n">
        <x:v>4425.8940851045</x:v>
      </x:c>
      <x:c r="I190" s="15" t="b">
        <x:v>0</x:v>
      </x:c>
    </x:row>
    <x:row r="191">
      <x:c r="A191" s="10" t="str">
        <x:v>LOC126278735</x:v>
      </x:c>
      <x:c r="B191" s="10" t="str">
        <x:v>neuropilin and tolloid-like protein 2</x:v>
      </x:c>
      <x:c r="C191" s="10" t="str">
        <x:v>protein_coding</x:v>
      </x:c>
      <x:c r="D191" s="10" t="str">
        <x:v>Immune-related</x:v>
      </x:c>
      <x:c r="E191" s="10" t="str">
        <x:v>infection_average_all_diets; infection_diet33; infection_diet50</x:v>
      </x:c>
      <x:c r="F191" s="10" t="n">
        <x:v>1.37573198222454</x:v>
      </x:c>
      <x:c r="G191" s="10" t="n">
        <x:v>0.0000013735114829272</x:v>
      </x:c>
      <x:c r="H191" s="10" t="n">
        <x:v>3954.14965608438</x:v>
      </x:c>
      <x:c r="I191" s="15" t="b">
        <x:v>0</x:v>
      </x:c>
    </x:row>
    <x:row r="192">
      <x:c r="A192" s="10" t="str">
        <x:v>LOC126281795</x:v>
      </x:c>
      <x:c r="B192" s="10" t="str">
        <x:v>allatostatins</x:v>
      </x:c>
      <x:c r="C192" s="10" t="str">
        <x:v>protein_coding</x:v>
      </x:c>
      <x:c r="D192" s="10" t="str">
        <x:v>Immune-related</x:v>
      </x:c>
      <x:c r="E192" s="10" t="str">
        <x:v>infection_average_all_diets</x:v>
      </x:c>
      <x:c r="F192" s="10" t="n">
        <x:v>1.26682783115605</x:v>
      </x:c>
      <x:c r="G192" s="10" t="n">
        <x:v>0.0335596520146442</x:v>
      </x:c>
      <x:c r="H192" s="10" t="n">
        <x:v>123.777470938185</x:v>
      </x:c>
      <x:c r="I192" s="15" t="b">
        <x:v>0</x:v>
      </x:c>
    </x:row>
    <x:row r="193">
      <x:c r="A193" s="10" t="str">
        <x:v>LOC126282023</x:v>
      </x:c>
      <x:c r="B193" s="10" t="str">
        <x:v>prothoracicostatic peptides</x:v>
      </x:c>
      <x:c r="C193" s="10" t="str">
        <x:v>protein_coding</x:v>
      </x:c>
      <x:c r="D193" s="10" t="str">
        <x:v>Immune-related</x:v>
      </x:c>
      <x:c r="E193" s="10" t="str">
        <x:v>infected_diet33_vs50; infection_diet50</x:v>
      </x:c>
      <x:c r="F193" s="10" t="n">
        <x:v>2.27075311627655</x:v>
      </x:c>
      <x:c r="G193" s="10" t="n">
        <x:v>0.0042455809818722</x:v>
      </x:c>
      <x:c r="H193" s="10" t="n">
        <x:v>47.1300096394595</x:v>
      </x:c>
      <x:c r="I193" s="15" t="b">
        <x:v>0</x:v>
      </x:c>
    </x:row>
    <x:row r="194">
      <x:c r="A194" s="10" t="str">
        <x:v>LOC126282030</x:v>
      </x:c>
      <x:c r="B194" s="10" t="str">
        <x:v>nuclear factor NF-kappa-B p110 subunit</x:v>
      </x:c>
      <x:c r="C194" s="10" t="str">
        <x:v>protein_coding</x:v>
      </x:c>
      <x:c r="D194" s="10" t="str">
        <x:v>Immune-related</x:v>
      </x:c>
      <x:c r="E194" s="10" t="str">
        <x:v>infection_average_all_diets; infection_diet33; infection_diet50; infection_diet83</x:v>
      </x:c>
      <x:c r="F194" s="10" t="n">
        <x:v>1.84869877264123</x:v>
      </x:c>
      <x:c r="G194" s="10" t="n">
        <x:v>9.501934914524011e-15</x:v>
      </x:c>
      <x:c r="H194" s="10" t="n">
        <x:v>1647.18665867805</x:v>
      </x:c>
      <x:c r="I194" s="15" t="b">
        <x:v>0</x:v>
      </x:c>
    </x:row>
    <x:row r="195">
      <x:c r="A195" s="10" t="str">
        <x:v>LOC126284033</x:v>
      </x:c>
      <x:c r="B195" s="10" t="str">
        <x:v>toll-like receptor 2</x:v>
      </x:c>
      <x:c r="C195" s="10" t="str">
        <x:v>protein_coding</x:v>
      </x:c>
      <x:c r="D195" s="10" t="str">
        <x:v>Immune-related</x:v>
      </x:c>
      <x:c r="E195" s="10" t="str">
        <x:v>infection_average_all_diets; infection_diet33; infection_diet50; infection_diet83</x:v>
      </x:c>
      <x:c r="F195" s="10" t="n">
        <x:v>4.21403352067235</x:v>
      </x:c>
      <x:c r="G195" s="10" t="n">
        <x:v>5.422818370976211e-20</x:v>
      </x:c>
      <x:c r="H195" s="10" t="n">
        <x:v>407.484785987829</x:v>
      </x:c>
      <x:c r="I195" s="15" t="b">
        <x:v>0</x:v>
      </x:c>
    </x:row>
    <x:row r="196">
      <x:c r="A196" s="10" t="str">
        <x:v>LOC126284043</x:v>
      </x:c>
      <x:c r="B196" s="10" t="str">
        <x:v>toll-like receptor 2</x:v>
      </x:c>
      <x:c r="C196" s="10" t="str">
        <x:v>protein_coding</x:v>
      </x:c>
      <x:c r="D196" s="10" t="str">
        <x:v>Immune-related</x:v>
      </x:c>
      <x:c r="E196" s="10" t="str">
        <x:v>infection_average_all_diets; infection_diet33; infection_diet50; infection_diet83</x:v>
      </x:c>
      <x:c r="F196" s="10" t="n">
        <x:v>2.21433902057752</x:v>
      </x:c>
      <x:c r="G196" s="10" t="n">
        <x:v>1.32829693644992e-8</x:v>
      </x:c>
      <x:c r="H196" s="10" t="n">
        <x:v>99.8420797070254</x:v>
      </x:c>
      <x:c r="I196" s="15" t="b">
        <x:v>0</x:v>
      </x:c>
    </x:row>
    <x:row r="197">
      <x:c r="A197" s="10" t="str">
        <x:v>LOC126284216</x:v>
      </x:c>
      <x:c r="B197" s="10" t="str">
        <x:v>phenoloxidase 2-like</x:v>
      </x:c>
      <x:c r="C197" s="10" t="str">
        <x:v>protein_coding</x:v>
      </x:c>
      <x:c r="D197" s="10" t="str">
        <x:v>Immune-related</x:v>
      </x:c>
      <x:c r="E197" s="10" t="str">
        <x:v>infection_average_all_diets; infection_diet33; infection_diet50</x:v>
      </x:c>
      <x:c r="F197" s="10" t="n">
        <x:v>1.55749530524732</x:v>
      </x:c>
      <x:c r="G197" s="10" t="n">
        <x:v>0.0000190624400796166</x:v>
      </x:c>
      <x:c r="H197" s="10" t="n">
        <x:v>16.3393802324995</x:v>
      </x:c>
      <x:c r="I197" s="15" t="b">
        <x:v>0</x:v>
      </x:c>
    </x:row>
    <x:row r="198">
      <x:c r="A198" s="10" t="str">
        <x:v>LOC126284462</x:v>
      </x:c>
      <x:c r="B198" s="10" t="str">
        <x:v>peptidoglycan-recognition protein LC-like</x:v>
      </x:c>
      <x:c r="C198" s="10" t="str">
        <x:v>protein_coding</x:v>
      </x:c>
      <x:c r="D198" s="10" t="str">
        <x:v>Immune-related</x:v>
      </x:c>
      <x:c r="E198" s="10" t="str">
        <x:v>infection_average_all_diets; infection_diet33; infection_diet50</x:v>
      </x:c>
      <x:c r="F198" s="10" t="n">
        <x:v>1.69282171175659</x:v>
      </x:c>
      <x:c r="G198" s="10" t="n">
        <x:v>0.0006634658747459</x:v>
      </x:c>
      <x:c r="H198" s="10" t="n">
        <x:v>280.356868584727</x:v>
      </x:c>
      <x:c r="I198" s="15" t="b">
        <x:v>0</x:v>
      </x:c>
    </x:row>
    <x:row r="199">
      <x:c r="A199" s="10" t="str">
        <x:v>LOC126284463</x:v>
      </x:c>
      <x:c r="B199" s="10" t="str">
        <x:v>peptidoglycan-recognition protein LB-like</x:v>
      </x:c>
      <x:c r="C199" s="10" t="str">
        <x:v>protein_coding</x:v>
      </x:c>
      <x:c r="D199" s="10" t="str">
        <x:v>Immune-related</x:v>
      </x:c>
      <x:c r="E199" s="10" t="str">
        <x:v>infected_diet33_vs50; infection_average_all_diets; infection_diet50; infection_diet83</x:v>
      </x:c>
      <x:c r="F199" s="10" t="n">
        <x:v>3.54738659941667</x:v>
      </x:c>
      <x:c r="G199" s="10" t="n">
        <x:v>5.74050456531073e-10</x:v>
      </x:c>
      <x:c r="H199" s="10" t="n">
        <x:v>510.276160169049</x:v>
      </x:c>
      <x:c r="I199" s="15" t="b">
        <x:v>0</x:v>
      </x:c>
    </x:row>
    <x:row r="200">
      <x:c r="A200" s="10" t="str">
        <x:v>LOC126284557</x:v>
      </x:c>
      <x:c r="B200" s="10" t="str">
        <x:v>UNC93-like protein</x:v>
      </x:c>
      <x:c r="C200" s="10" t="str">
        <x:v>protein_coding</x:v>
      </x:c>
      <x:c r="D200" s="10" t="str">
        <x:v>Immune-related</x:v>
      </x:c>
      <x:c r="E200" s="10" t="str">
        <x:v>infection_diet50</x:v>
      </x:c>
      <x:c r="F200" s="10" t="n">
        <x:v>1.72793680445577</x:v>
      </x:c>
      <x:c r="G200" s="10" t="n">
        <x:v>0.0230413834118136</x:v>
      </x:c>
      <x:c r="H200" s="10" t="n">
        <x:v>27.1907757072923</x:v>
      </x:c>
      <x:c r="I200" s="15" t="b">
        <x:v>0</x:v>
      </x:c>
    </x:row>
    <x:row r="201">
      <x:c r="A201" s="10" t="str">
        <x:v>LOC126284941</x:v>
      </x:c>
      <x:c r="B201" s="10" t="str">
        <x:v>lithostathine-1-like</x:v>
      </x:c>
      <x:c r="C201" s="10" t="str">
        <x:v>protein_coding</x:v>
      </x:c>
      <x:c r="D201" s="10" t="str">
        <x:v>Immune-related</x:v>
      </x:c>
      <x:c r="E201" s="10" t="str">
        <x:v>infection_average_all_diets; infection_diet33; infection_diet50; infection_diet83</x:v>
      </x:c>
      <x:c r="F201" s="10" t="n">
        <x:v>1.53108003581597</x:v>
      </x:c>
      <x:c r="G201" s="10" t="n">
        <x:v>1.43148824280555e-7</x:v>
      </x:c>
      <x:c r="H201" s="10" t="n">
        <x:v>390.507181909693</x:v>
      </x:c>
      <x:c r="I201" s="15" t="b">
        <x:v>0</x:v>
      </x:c>
    </x:row>
    <x:row r="202">
      <x:c r="A202" s="10" t="str">
        <x:v>LOC126291679</x:v>
      </x:c>
      <x:c r="B202" s="10" t="str">
        <x:v>DNA topoisomerase 2-like</x:v>
      </x:c>
      <x:c r="C202" s="10" t="str">
        <x:v>protein_coding</x:v>
      </x:c>
      <x:c r="D202" s="10" t="str">
        <x:v>Immune-related</x:v>
      </x:c>
      <x:c r="E202" s="10" t="str">
        <x:v>infection_diet50</x:v>
      </x:c>
      <x:c r="F202" s="10" t="n">
        <x:v>1.05715989263564</x:v>
      </x:c>
      <x:c r="G202" s="10" t="n">
        <x:v>0.0205915035192272</x:v>
      </x:c>
      <x:c r="H202" s="10" t="n">
        <x:v>50.7762173697602</x:v>
      </x:c>
      <x:c r="I202" s="15" t="b">
        <x:v>0</x:v>
      </x:c>
    </x:row>
    <x:row r="203">
      <x:c r="A203" s="10" t="str">
        <x:v>LOC126293579</x:v>
      </x:c>
      <x:c r="B203" s="10" t="str">
        <x:v>melanization protease 1-like</x:v>
      </x:c>
      <x:c r="C203" s="10" t="str">
        <x:v>protein_coding</x:v>
      </x:c>
      <x:c r="D203" s="10" t="str">
        <x:v>Immune-related</x:v>
      </x:c>
      <x:c r="E203" s="10" t="str">
        <x:v>infection_average_all_diets; infection_diet33; infection_diet50; infection_diet83</x:v>
      </x:c>
      <x:c r="F203" s="10" t="n">
        <x:v>3.4886635266554</x:v>
      </x:c>
      <x:c r="G203" s="10" t="n">
        <x:v>2.51988112915275e-13</x:v>
      </x:c>
      <x:c r="H203" s="10" t="n">
        <x:v>54.8848378786106</x:v>
      </x:c>
      <x:c r="I203" s="15" t="b">
        <x:v>0</x:v>
      </x:c>
    </x:row>
    <x:row r="204">
      <x:c r="A204" s="10" t="str">
        <x:v>LOC126298069</x:v>
      </x:c>
      <x:c r="B204" s="10" t="str">
        <x:v>protein eva-1</x:v>
      </x:c>
      <x:c r="C204" s="10" t="str">
        <x:v>protein_coding</x:v>
      </x:c>
      <x:c r="D204" s="10" t="str">
        <x:v>Immune-related</x:v>
      </x:c>
      <x:c r="E204" s="10" t="str">
        <x:v>infection_diet50; infection_diet83</x:v>
      </x:c>
      <x:c r="F204" s="10" t="n">
        <x:v>1.16857773802691</x:v>
      </x:c>
      <x:c r="G204" s="10" t="n">
        <x:v>0.0056461218075352</x:v>
      </x:c>
      <x:c r="H204" s="10" t="n">
        <x:v>1069.53352895486</x:v>
      </x:c>
      <x:c r="I204" s="15" t="b">
        <x:v>0</x:v>
      </x:c>
    </x:row>
    <x:row r="205">
      <x:c r="A205" s="10" t="str">
        <x:v>LOC126298901</x:v>
      </x:c>
      <x:c r="B205" s="10" t="str">
        <x:v>uncharacterized LOC126298901</x:v>
      </x:c>
      <x:c r="C205" s="10" t="str">
        <x:v>protein_coding</x:v>
      </x:c>
      <x:c r="D205" s="10" t="str">
        <x:v>Immune-related</x:v>
      </x:c>
      <x:c r="E205" s="10" t="str">
        <x:v>infected_diet83_vs33; infected_diet83_vs50; infection_diet50; infection_diet83</x:v>
      </x:c>
      <x:c r="F205" s="10" t="n">
        <x:v>6.0390997122312</x:v>
      </x:c>
      <x:c r="G205" s="10" t="n">
        <x:v>0.0001618410244891</x:v>
      </x:c>
      <x:c r="H205" s="10" t="n">
        <x:v>33.9266862308982</x:v>
      </x:c>
      <x:c r="I205" s="15" t="b">
        <x:v>0</x:v>
      </x:c>
    </x:row>
    <x:row r="206">
      <x:c r="A206" s="10" t="str">
        <x:v>LOC126298961</x:v>
      </x:c>
      <x:c r="B206" s="10" t="str">
        <x:v>toll-like receptor Tollo</x:v>
      </x:c>
      <x:c r="C206" s="10" t="str">
        <x:v>protein_coding</x:v>
      </x:c>
      <x:c r="D206" s="10" t="str">
        <x:v>Immune-related</x:v>
      </x:c>
      <x:c r="E206" s="10" t="str">
        <x:v>infection_average_all_diets; infection_diet33; infection_diet50</x:v>
      </x:c>
      <x:c r="F206" s="10" t="n">
        <x:v>1.50966138092143</x:v>
      </x:c>
      <x:c r="G206" s="10" t="n">
        <x:v>0.0021819884423291</x:v>
      </x:c>
      <x:c r="H206" s="10" t="n">
        <x:v>33.3426967286956</x:v>
      </x:c>
      <x:c r="I206" s="15" t="b">
        <x:v>0</x:v>
      </x:c>
    </x:row>
    <x:row r="207">
      <x:c r="A207" s="10" t="str">
        <x:v>LOC126299287</x:v>
      </x:c>
      <x:c r="B207" s="10" t="str">
        <x:v>leukocyte elastase inhibitor-like</x:v>
      </x:c>
      <x:c r="C207" s="10" t="str">
        <x:v>protein_coding</x:v>
      </x:c>
      <x:c r="D207" s="10" t="str">
        <x:v>Immune-related</x:v>
      </x:c>
      <x:c r="E207" s="10" t="str">
        <x:v>infection_diet50</x:v>
      </x:c>
      <x:c r="F207" s="10" t="n">
        <x:v>1.03890096282857</x:v>
      </x:c>
      <x:c r="G207" s="10" t="n">
        <x:v>0.0099172237665092</x:v>
      </x:c>
      <x:c r="H207" s="10" t="n">
        <x:v>296.812303650345</x:v>
      </x:c>
      <x:c r="I207" s="15" t="b">
        <x:v>0</x:v>
      </x:c>
    </x:row>
    <x:row r="208">
      <x:c r="A208" s="10" t="str">
        <x:v>LOC126325205</x:v>
      </x:c>
      <x:c r="B208" s="10" t="str">
        <x:v>toll-like receptor 4</x:v>
      </x:c>
      <x:c r="C208" s="10" t="str">
        <x:v>protein_coding</x:v>
      </x:c>
      <x:c r="D208" s="10" t="str">
        <x:v>Immune-related</x:v>
      </x:c>
      <x:c r="E208" s="10" t="str">
        <x:v>infection_average_all_diets; infection_diet33; infection_diet50; infection_diet83</x:v>
      </x:c>
      <x:c r="F208" s="10" t="n">
        <x:v>2.65123155444473</x:v>
      </x:c>
      <x:c r="G208" s="10" t="n">
        <x:v>2.3431853791896897e-28</x:v>
      </x:c>
      <x:c r="H208" s="10" t="n">
        <x:v>467.966486561993</x:v>
      </x:c>
      <x:c r="I208" s="15" t="b">
        <x:v>0</x:v>
      </x:c>
    </x:row>
    <x:row r="209">
      <x:c r="A209" s="10" t="str">
        <x:v>LOC126325232</x:v>
      </x:c>
      <x:c r="B209" s="10" t="str">
        <x:v>toll-like receptor 2</x:v>
      </x:c>
      <x:c r="C209" s="10" t="str">
        <x:v>protein_coding</x:v>
      </x:c>
      <x:c r="D209" s="10" t="str">
        <x:v>Immune-related</x:v>
      </x:c>
      <x:c r="E209" s="10" t="str">
        <x:v>infected_diet33_vs50; infection_average_all_diets; infection_diet33; infection_diet50; infection_diet83</x:v>
      </x:c>
      <x:c r="F209" s="10" t="n">
        <x:v>4.63343594766215</x:v>
      </x:c>
      <x:c r="G209" s="10" t="n">
        <x:v>8.06055869396495e-23</x:v>
      </x:c>
      <x:c r="H209" s="10" t="n">
        <x:v>754.836121625569</x:v>
      </x:c>
      <x:c r="I209" s="15" t="b">
        <x:v>0</x:v>
      </x:c>
    </x:row>
    <x:row r="210">
      <x:c r="A210" s="10" t="str">
        <x:v>LOC126329244</x:v>
      </x:c>
      <x:c r="B210" s="10" t="str">
        <x:v>sushi, von Willebrand factor type A, EGF and pentraxin domain-containing protein 1</x:v>
      </x:c>
      <x:c r="C210" s="10" t="str">
        <x:v>protein_coding</x:v>
      </x:c>
      <x:c r="D210" s="10" t="str">
        <x:v>Immune-related</x:v>
      </x:c>
      <x:c r="E210" s="10" t="str">
        <x:v>infection_diet50</x:v>
      </x:c>
      <x:c r="F210" s="10" t="n">
        <x:v>1.27050308256552</x:v>
      </x:c>
      <x:c r="G210" s="10" t="n">
        <x:v>0.0071741390557567</x:v>
      </x:c>
      <x:c r="H210" s="10" t="n">
        <x:v>1013.65603206806</x:v>
      </x:c>
      <x:c r="I210" s="15" t="b">
        <x:v>0</x:v>
      </x:c>
    </x:row>
    <x:row r="211">
      <x:c r="A211" s="10" t="str">
        <x:v>LOC126331691</x:v>
      </x:c>
      <x:c r="B211" s="10" t="str">
        <x:v>toll-like receptor 2 type-2</x:v>
      </x:c>
      <x:c r="C211" s="10" t="str">
        <x:v>protein_coding</x:v>
      </x:c>
      <x:c r="D211" s="10" t="str">
        <x:v>Immune-related</x:v>
      </x:c>
      <x:c r="E211" s="10" t="str">
        <x:v>infection_average_all_diets; infection_diet33; infection_diet50; infection_diet83</x:v>
      </x:c>
      <x:c r="F211" s="10" t="n">
        <x:v>2.95186697246878</x:v>
      </x:c>
      <x:c r="G211" s="10" t="n">
        <x:v>2.24790652854028e-18</x:v>
      </x:c>
      <x:c r="H211" s="10" t="n">
        <x:v>699.466561033715</x:v>
      </x:c>
      <x:c r="I211" s="15" t="b">
        <x:v>0</x:v>
      </x:c>
    </x:row>
    <x:row r="212">
      <x:c r="A212" s="10" t="str">
        <x:v>LOC126334582</x:v>
      </x:c>
      <x:c r="B212" s="10" t="str">
        <x:v>serpin B12</x:v>
      </x:c>
      <x:c r="C212" s="10" t="str">
        <x:v>protein_coding</x:v>
      </x:c>
      <x:c r="D212" s="10" t="str">
        <x:v>Immune-related</x:v>
      </x:c>
      <x:c r="E212" s="10" t="str">
        <x:v>infection_diet50</x:v>
      </x:c>
      <x:c r="F212" s="10" t="n">
        <x:v>1.59195520487885</x:v>
      </x:c>
      <x:c r="G212" s="10" t="n">
        <x:v>0.0464809833876122</x:v>
      </x:c>
      <x:c r="H212" s="10" t="n">
        <x:v>86.1536861416937</x:v>
      </x:c>
      <x:c r="I212" s="15" t="b">
        <x:v>0</x:v>
      </x:c>
    </x:row>
    <x:row r="213">
      <x:c r="A213" s="10" t="str">
        <x:v>LOC126334632</x:v>
      </x:c>
      <x:c r="B213" s="10" t="str">
        <x:v>phenoloxidase 2-like</x:v>
      </x:c>
      <x:c r="C213" s="10" t="str">
        <x:v>protein_coding</x:v>
      </x:c>
      <x:c r="D213" s="10" t="str">
        <x:v>Immune-related</x:v>
      </x:c>
      <x:c r="E213" s="10" t="str">
        <x:v>infection_average_all_diets; infection_diet33; infection_diet50; infection_diet83</x:v>
      </x:c>
      <x:c r="F213" s="10" t="n">
        <x:v>2.59336751390324</x:v>
      </x:c>
      <x:c r="G213" s="10" t="n">
        <x:v>1.32720296922149e-8</x:v>
      </x:c>
      <x:c r="H213" s="10" t="n">
        <x:v>4181.66572106751</x:v>
      </x:c>
      <x:c r="I213" s="15" t="b">
        <x:v>0</x:v>
      </x:c>
    </x:row>
    <x:row r="214">
      <x:c r="A214" s="10" t="str">
        <x:v>LOC126334635</x:v>
      </x:c>
      <x:c r="B214" s="10" t="str">
        <x:v>toll-like receptor 4</x:v>
      </x:c>
      <x:c r="C214" s="10" t="str">
        <x:v>protein_coding</x:v>
      </x:c>
      <x:c r="D214" s="10" t="str">
        <x:v>Immune-related</x:v>
      </x:c>
      <x:c r="E214" s="10" t="str">
        <x:v>infection_diet50</x:v>
      </x:c>
      <x:c r="F214" s="10" t="n">
        <x:v>1.03930066976145</x:v>
      </x:c>
      <x:c r="G214" s="10" t="n">
        <x:v>0.0090509502993822</x:v>
      </x:c>
      <x:c r="H214" s="10" t="n">
        <x:v>1830.97212878192</x:v>
      </x:c>
      <x:c r="I214" s="15" t="b">
        <x:v>0</x:v>
      </x:c>
    </x:row>
    <x:row r="215">
      <x:c r="A215" s="10" t="str">
        <x:v>LOC126335167</x:v>
      </x:c>
      <x:c r="B215" s="10" t="str">
        <x:v>serine protease inhibitor 88Ea-like</x:v>
      </x:c>
      <x:c r="C215" s="10" t="str">
        <x:v>protein_coding</x:v>
      </x:c>
      <x:c r="D215" s="10" t="str">
        <x:v>Immune-related</x:v>
      </x:c>
      <x:c r="E215" s="10" t="str">
        <x:v>infected_diet83_vs33</x:v>
      </x:c>
      <x:c r="F215" s="10" t="n">
        <x:v>2.28494245859656</x:v>
      </x:c>
      <x:c r="G215" s="10" t="n">
        <x:v>0.0287434488482537</x:v>
      </x:c>
      <x:c r="H215" s="10" t="n">
        <x:v>571.646716919496</x:v>
      </x:c>
      <x:c r="I215" s="15" t="b">
        <x:v>0</x:v>
      </x:c>
    </x:row>
    <x:row r="216">
      <x:c r="A216" s="10" t="str">
        <x:v>LOC126335288</x:v>
      </x:c>
      <x:c r="B216" s="10" t="str">
        <x:v>polypeptide N-acetylgalactosaminyltransferase 3-like</x:v>
      </x:c>
      <x:c r="C216" s="10" t="str">
        <x:v>protein_coding</x:v>
      </x:c>
      <x:c r="D216" s="10" t="str">
        <x:v>Immune-related</x:v>
      </x:c>
      <x:c r="E216" s="10" t="str">
        <x:v>infection_average_all_diets; infection_diet33; infection_diet50; infection_diet83</x:v>
      </x:c>
      <x:c r="F216" s="10" t="n">
        <x:v>1.77772079184327</x:v>
      </x:c>
      <x:c r="G216" s="10" t="n">
        <x:v>2.35489496889571e-16</x:v>
      </x:c>
      <x:c r="H216" s="10" t="n">
        <x:v>683.212779439654</x:v>
      </x:c>
      <x:c r="I216" s="15" t="b">
        <x:v>0</x:v>
      </x:c>
    </x:row>
    <x:row r="217">
      <x:c r="A217" s="10" t="str">
        <x:v>LOC126335291</x:v>
      </x:c>
      <x:c r="B217" s="10" t="str">
        <x:v>polypeptide N-acetylgalactosaminyltransferase 5-like</x:v>
      </x:c>
      <x:c r="C217" s="10" t="str">
        <x:v>protein_coding</x:v>
      </x:c>
      <x:c r="D217" s="10" t="str">
        <x:v>Immune-related</x:v>
      </x:c>
      <x:c r="E217" s="10" t="str">
        <x:v>infection_diet33</x:v>
      </x:c>
      <x:c r="F217" s="10" t="n">
        <x:v>1.17565283996243</x:v>
      </x:c>
      <x:c r="G217" s="10" t="n">
        <x:v>0.0008154517766795</x:v>
      </x:c>
      <x:c r="H217" s="10" t="n">
        <x:v>3668.62269534933</x:v>
      </x:c>
      <x:c r="I217" s="15" t="b">
        <x:v>0</x:v>
      </x:c>
    </x:row>
    <x:row r="218">
      <x:c r="A218" s="10" t="str">
        <x:v>LOC126335404</x:v>
      </x:c>
      <x:c r="B218" s="10" t="str">
        <x:v>serpin B6-like</x:v>
      </x:c>
      <x:c r="C218" s="10" t="str">
        <x:v>protein_coding</x:v>
      </x:c>
      <x:c r="D218" s="10" t="str">
        <x:v>Immune-related</x:v>
      </x:c>
      <x:c r="E218" s="10" t="str">
        <x:v>infection_diet50</x:v>
      </x:c>
      <x:c r="F218" s="10" t="n">
        <x:v>2.22818930586805</x:v>
      </x:c>
      <x:c r="G218" s="10" t="n">
        <x:v>0.000948030465026</x:v>
      </x:c>
      <x:c r="H218" s="10" t="n">
        <x:v>64.7299966384442</x:v>
      </x:c>
      <x:c r="I218" s="15" t="b">
        <x:v>0</x:v>
      </x:c>
    </x:row>
    <x:row r="219">
      <x:c r="A219" s="10" t="str">
        <x:v>LOC126335463</x:v>
      </x:c>
      <x:c r="B219" s="10" t="str">
        <x:v>serpin B8-like</x:v>
      </x:c>
      <x:c r="C219" s="10" t="str">
        <x:v>protein_coding</x:v>
      </x:c>
      <x:c r="D219" s="10" t="str">
        <x:v>Immune-related</x:v>
      </x:c>
      <x:c r="E219" s="10" t="str">
        <x:v>infection_average_all_diets; infection_diet33; infection_diet50; infection_diet83</x:v>
      </x:c>
      <x:c r="F219" s="10" t="n">
        <x:v>6.87500175759492</x:v>
      </x:c>
      <x:c r="G219" s="10" t="n">
        <x:v>5.670457449772651e-44</x:v>
      </x:c>
      <x:c r="H219" s="10" t="n">
        <x:v>960.350182696035</x:v>
      </x:c>
      <x:c r="I219" s="15" t="b">
        <x:v>1</x:v>
      </x:c>
    </x:row>
    <x:row r="220">
      <x:c r="A220" s="10" t="str">
        <x:v>LOC126335465</x:v>
      </x:c>
      <x:c r="B220" s="10" t="str">
        <x:v>serpin B6-like</x:v>
      </x:c>
      <x:c r="C220" s="10" t="str">
        <x:v>protein_coding</x:v>
      </x:c>
      <x:c r="D220" s="10" t="str">
        <x:v>Immune-related</x:v>
      </x:c>
      <x:c r="E220" s="10" t="str">
        <x:v>infection_average_all_diets; infection_diet33</x:v>
      </x:c>
      <x:c r="F220" s="10" t="n">
        <x:v>1.57138463908228</x:v>
      </x:c>
      <x:c r="G220" s="10" t="n">
        <x:v>0.0012730359928073</x:v>
      </x:c>
      <x:c r="H220" s="10" t="n">
        <x:v>268.896723652835</x:v>
      </x:c>
      <x:c r="I220" s="15" t="b">
        <x:v>0</x:v>
      </x:c>
    </x:row>
    <x:row r="221">
      <x:c r="A221" s="10" t="str">
        <x:v>LOC126335467</x:v>
      </x:c>
      <x:c r="B221" s="10" t="str">
        <x:v>leukocyte elastase inhibitor-like</x:v>
      </x:c>
      <x:c r="C221" s="10" t="str">
        <x:v>protein_coding</x:v>
      </x:c>
      <x:c r="D221" s="10" t="str">
        <x:v>Immune-related</x:v>
      </x:c>
      <x:c r="E221" s="10" t="str">
        <x:v>control_diet83_vs50; infection_average_all_diets; infection_diet50</x:v>
      </x:c>
      <x:c r="F221" s="10" t="n">
        <x:v>2.44111274834131</x:v>
      </x:c>
      <x:c r="G221" s="10" t="n">
        <x:v>0.00000152971423489253</x:v>
      </x:c>
      <x:c r="H221" s="10" t="n">
        <x:v>429.015170849102</x:v>
      </x:c>
      <x:c r="I221" s="15" t="b">
        <x:v>0</x:v>
      </x:c>
    </x:row>
    <x:row r="222">
      <x:c r="A222" s="10" t="str">
        <x:v>LOC126335468</x:v>
      </x:c>
      <x:c r="B222" s="10" t="str">
        <x:v>serpin B6-like</x:v>
      </x:c>
      <x:c r="C222" s="10" t="str">
        <x:v>protein_coding</x:v>
      </x:c>
      <x:c r="D222" s="10" t="str">
        <x:v>Immune-related</x:v>
      </x:c>
      <x:c r="E222" s="10" t="str">
        <x:v>control_diet83_vs50; infection_average_all_diets; infection_diet33; infection_diet50</x:v>
      </x:c>
      <x:c r="F222" s="10" t="n">
        <x:v>3.62285149371615</x:v>
      </x:c>
      <x:c r="G222" s="10" t="n">
        <x:v>5.596802138129689e-12</x:v>
      </x:c>
      <x:c r="H222" s="10" t="n">
        <x:v>242.632316648229</x:v>
      </x:c>
      <x:c r="I222" s="15" t="b">
        <x:v>1</x:v>
      </x:c>
    </x:row>
    <x:row r="223">
      <x:c r="A223" s="10" t="str">
        <x:v>LOC126335470</x:v>
      </x:c>
      <x:c r="B223" s="10" t="str">
        <x:v>leukocyte elastase inhibitor-like</x:v>
      </x:c>
      <x:c r="C223" s="10" t="str">
        <x:v>protein_coding</x:v>
      </x:c>
      <x:c r="D223" s="10" t="str">
        <x:v>Immune-related</x:v>
      </x:c>
      <x:c r="E223" s="10" t="str">
        <x:v>infection_average_all_diets; infection_diet33; infection_diet50; infection_diet83</x:v>
      </x:c>
      <x:c r="F223" s="10" t="n">
        <x:v>1.84903522732622</x:v>
      </x:c>
      <x:c r="G223" s="10" t="n">
        <x:v>1.6442606350825498e-11</x:v>
      </x:c>
      <x:c r="H223" s="10" t="n">
        <x:v>693.470844675607</x:v>
      </x:c>
      <x:c r="I223" s="15" t="b">
        <x:v>0</x:v>
      </x:c>
    </x:row>
    <x:row r="224">
      <x:c r="A224" s="10" t="str">
        <x:v>LOC126335471</x:v>
      </x:c>
      <x:c r="B224" s="10" t="str">
        <x:v>serpin B6-like</x:v>
      </x:c>
      <x:c r="C224" s="10" t="str">
        <x:v>protein_coding</x:v>
      </x:c>
      <x:c r="D224" s="10" t="str">
        <x:v>Immune-related</x:v>
      </x:c>
      <x:c r="E224" s="10" t="str">
        <x:v>infection_diet50</x:v>
      </x:c>
      <x:c r="F224" s="10" t="n">
        <x:v>1.80390091035615</x:v>
      </x:c>
      <x:c r="G224" s="10" t="n">
        <x:v>0.0018818936625527</x:v>
      </x:c>
      <x:c r="H224" s="10" t="n">
        <x:v>7.40444500265381</x:v>
      </x:c>
      <x:c r="I224" s="15" t="b">
        <x:v>0</x:v>
      </x:c>
    </x:row>
    <x:row r="225">
      <x:c r="A225" s="10" t="str">
        <x:v>LOC126335472</x:v>
      </x:c>
      <x:c r="B225" s="10" t="str">
        <x:v>serpin B4-like</x:v>
      </x:c>
      <x:c r="C225" s="10" t="str">
        <x:v>protein_coding</x:v>
      </x:c>
      <x:c r="D225" s="10" t="str">
        <x:v>Immune-related</x:v>
      </x:c>
      <x:c r="E225" s="10" t="str">
        <x:v>infection_average_all_diets; infection_diet33; infection_diet50; infection_diet83</x:v>
      </x:c>
      <x:c r="F225" s="10" t="n">
        <x:v>2.43330029021738</x:v>
      </x:c>
      <x:c r="G225" s="10" t="n">
        <x:v>2.32746150726713e-11</x:v>
      </x:c>
      <x:c r="H225" s="10" t="n">
        <x:v>63.4090185904366</x:v>
      </x:c>
      <x:c r="I225" s="15" t="b">
        <x:v>0</x:v>
      </x:c>
    </x:row>
    <x:row r="226">
      <x:c r="A226" s="10" t="str">
        <x:v>LOC126335544</x:v>
      </x:c>
      <x:c r="B226" s="10" t="str">
        <x:v>leukocyte elastase inhibitor-like</x:v>
      </x:c>
      <x:c r="C226" s="10" t="str">
        <x:v>protein_coding</x:v>
      </x:c>
      <x:c r="D226" s="10" t="str">
        <x:v>Immune-related</x:v>
      </x:c>
      <x:c r="E226" s="10" t="str">
        <x:v>infection_average_all_diets; infection_diet50; infection_diet83</x:v>
      </x:c>
      <x:c r="F226" s="10" t="n">
        <x:v>1.68108988165741</x:v>
      </x:c>
      <x:c r="G226" s="10" t="n">
        <x:v>0.00000105616511072105</x:v>
      </x:c>
      <x:c r="H226" s="10" t="n">
        <x:v>175.195694501429</x:v>
      </x:c>
      <x:c r="I226" s="15" t="b">
        <x:v>0</x:v>
      </x:c>
    </x:row>
    <x:row r="227">
      <x:c r="A227" s="10" t="str">
        <x:v>LOC126335545</x:v>
      </x:c>
      <x:c r="B227" s="10" t="str">
        <x:v>leukocyte elastase inhibitor-like</x:v>
      </x:c>
      <x:c r="C227" s="10" t="str">
        <x:v>protein_coding</x:v>
      </x:c>
      <x:c r="D227" s="10" t="str">
        <x:v>Immune-related</x:v>
      </x:c>
      <x:c r="E227" s="10" t="str">
        <x:v>infection_average_all_diets; infection_diet33; infection_diet50; infection_diet83</x:v>
      </x:c>
      <x:c r="F227" s="10" t="n">
        <x:v>3.06090233388435</x:v>
      </x:c>
      <x:c r="G227" s="10" t="n">
        <x:v>3.0403637080269198e-12</x:v>
      </x:c>
      <x:c r="H227" s="10" t="n">
        <x:v>92.0223522657867</x:v>
      </x:c>
      <x:c r="I227" s="15" t="b">
        <x:v>0</x:v>
      </x:c>
    </x:row>
    <x:row r="228">
      <x:c r="A228" s="10" t="str">
        <x:v>LOC126335546</x:v>
      </x:c>
      <x:c r="B228" s="10" t="str">
        <x:v>leukocyte elastase inhibitor-like</x:v>
      </x:c>
      <x:c r="C228" s="10" t="str">
        <x:v>protein_coding</x:v>
      </x:c>
      <x:c r="D228" s="10" t="str">
        <x:v>Immune-related</x:v>
      </x:c>
      <x:c r="E228" s="10" t="str">
        <x:v>infection_average_all_diets; infection_diet33; infection_diet50; infection_diet83</x:v>
      </x:c>
      <x:c r="F228" s="10" t="n">
        <x:v>1.86221761537168</x:v>
      </x:c>
      <x:c r="G228" s="10" t="n">
        <x:v>4.04781456696527e-10</x:v>
      </x:c>
      <x:c r="H228" s="10" t="n">
        <x:v>185.340299967898</x:v>
      </x:c>
      <x:c r="I228" s="15" t="b">
        <x:v>0</x:v>
      </x:c>
    </x:row>
    <x:row r="229">
      <x:c r="A229" s="10" t="str">
        <x:v>LOC126335547</x:v>
      </x:c>
      <x:c r="B229" s="10" t="str">
        <x:v>serpin B6-like</x:v>
      </x:c>
      <x:c r="C229" s="10" t="str">
        <x:v>protein_coding</x:v>
      </x:c>
      <x:c r="D229" s="10" t="str">
        <x:v>Immune-related</x:v>
      </x:c>
      <x:c r="E229" s="10" t="str">
        <x:v>infection_average_all_diets; infection_diet33; infection_diet50; infection_diet83</x:v>
      </x:c>
      <x:c r="F229" s="10" t="n">
        <x:v>3.0859494299963</x:v>
      </x:c>
      <x:c r="G229" s="10" t="n">
        <x:v>1.6303217627855398e-18</x:v>
      </x:c>
      <x:c r="H229" s="10" t="n">
        <x:v>396.293312224716</x:v>
      </x:c>
      <x:c r="I229" s="15" t="b">
        <x:v>0</x:v>
      </x:c>
    </x:row>
    <x:row r="230">
      <x:c r="A230" s="10" t="str">
        <x:v>LOC126335620</x:v>
      </x:c>
      <x:c r="B230" s="10" t="str">
        <x:v>hemolymph lipopolysaccharide-binding protein-like</x:v>
      </x:c>
      <x:c r="C230" s="10" t="str">
        <x:v>protein_coding</x:v>
      </x:c>
      <x:c r="D230" s="10" t="str">
        <x:v>Immune-related</x:v>
      </x:c>
      <x:c r="E230" s="10" t="str">
        <x:v>infection_average_all_diets</x:v>
      </x:c>
      <x:c r="F230" s="10" t="n">
        <x:v>1.29485352593057</x:v>
      </x:c>
      <x:c r="G230" s="10" t="n">
        <x:v>0.0029154315697221</x:v>
      </x:c>
      <x:c r="H230" s="10" t="n">
        <x:v>9.83411710192667</x:v>
      </x:c>
      <x:c r="I230" s="15" t="b">
        <x:v>0</x:v>
      </x:c>
    </x:row>
    <x:row r="231">
      <x:c r="A231" s="10" t="str">
        <x:v>LOC126335724</x:v>
      </x:c>
      <x:c r="B231" s="10" t="str">
        <x:v>hexamerin-like</x:v>
      </x:c>
      <x:c r="C231" s="10" t="str">
        <x:v>protein_coding</x:v>
      </x:c>
      <x:c r="D231" s="10" t="str">
        <x:v>Immune-related</x:v>
      </x:c>
      <x:c r="E231" s="10" t="str">
        <x:v>infection_average_all_diets; infection_diet50</x:v>
      </x:c>
      <x:c r="F231" s="10" t="n">
        <x:v>2.84108970747156</x:v>
      </x:c>
      <x:c r="G231" s="10" t="n">
        <x:v>0.0000393649314776905</x:v>
      </x:c>
      <x:c r="H231" s="10" t="n">
        <x:v>730.330401304267</x:v>
      </x:c>
      <x:c r="I231" s="15" t="b">
        <x:v>0</x:v>
      </x:c>
    </x:row>
    <x:row r="232">
      <x:c r="A232" s="10" t="str">
        <x:v>LOC126335826</x:v>
      </x:c>
      <x:c r="B232" s="10" t="str">
        <x:v>toll-like receptor 2</x:v>
      </x:c>
      <x:c r="C232" s="10" t="str">
        <x:v>protein_coding</x:v>
      </x:c>
      <x:c r="D232" s="10" t="str">
        <x:v>Immune-related</x:v>
      </x:c>
      <x:c r="E232" s="10" t="str">
        <x:v>infection_average_all_diets</x:v>
      </x:c>
      <x:c r="F232" s="10" t="n">
        <x:v>1.36113506189901</x:v>
      </x:c>
      <x:c r="G232" s="10" t="n">
        <x:v>0.0014255526243188</x:v>
      </x:c>
      <x:c r="H232" s="10" t="n">
        <x:v>7.34782799223898</x:v>
      </x:c>
      <x:c r="I232" s="15" t="b">
        <x:v>0</x:v>
      </x:c>
    </x:row>
    <x:row r="233">
      <x:c r="A233" s="10" t="str">
        <x:v>LOC126335828</x:v>
      </x:c>
      <x:c r="B233" s="10" t="str">
        <x:v>toll-like receptor 2</x:v>
      </x:c>
      <x:c r="C233" s="10" t="str">
        <x:v>protein_coding</x:v>
      </x:c>
      <x:c r="D233" s="10" t="str">
        <x:v>Immune-related</x:v>
      </x:c>
      <x:c r="E233" s="10" t="str">
        <x:v>infection_average_all_diets; infection_diet33; infection_diet50; infection_diet83</x:v>
      </x:c>
      <x:c r="F233" s="10" t="n">
        <x:v>3.03580150299342</x:v>
      </x:c>
      <x:c r="G233" s="10" t="n">
        <x:v>6.86807109435769e-23</x:v>
      </x:c>
      <x:c r="H233" s="10" t="n">
        <x:v>1909.04199213648</x:v>
      </x:c>
      <x:c r="I233" s="15" t="b">
        <x:v>0</x:v>
      </x:c>
    </x:row>
    <x:row r="234">
      <x:c r="A234" s="10" t="str">
        <x:v>LOC126336076</x:v>
      </x:c>
      <x:c r="B234" s="10" t="str">
        <x:v>serpin B8-like</x:v>
      </x:c>
      <x:c r="C234" s="10" t="str">
        <x:v>protein_coding</x:v>
      </x:c>
      <x:c r="D234" s="10" t="str">
        <x:v>Immune-related</x:v>
      </x:c>
      <x:c r="E234" s="10" t="str">
        <x:v>infection_average_all_diets; infection_diet33; infection_diet50</x:v>
      </x:c>
      <x:c r="F234" s="10" t="n">
        <x:v>2.54579533363373</x:v>
      </x:c>
      <x:c r="G234" s="10" t="n">
        <x:v>1.85070874338013e-7</x:v>
      </x:c>
      <x:c r="H234" s="10" t="n">
        <x:v>26.2572748275625</x:v>
      </x:c>
      <x:c r="I234" s="15" t="b">
        <x:v>0</x:v>
      </x:c>
    </x:row>
    <x:row r="235">
      <x:c r="A235" s="10" t="str">
        <x:v>LOC126336409</x:v>
      </x:c>
      <x:c r="B235" s="10" t="str">
        <x:v>hexamerin-like</x:v>
      </x:c>
      <x:c r="C235" s="10" t="str">
        <x:v>protein_coding</x:v>
      </x:c>
      <x:c r="D235" s="10" t="str">
        <x:v>Immune-related</x:v>
      </x:c>
      <x:c r="E235" s="10" t="str">
        <x:v>infected_diet33_vs50; infection_diet33</x:v>
      </x:c>
      <x:c r="F235" s="10" t="n">
        <x:v>2.28719095411511</x:v>
      </x:c>
      <x:c r="G235" s="10" t="n">
        <x:v>0.0158138418213588</x:v>
      </x:c>
      <x:c r="H235" s="10" t="n">
        <x:v>245.905905978636</x:v>
      </x:c>
      <x:c r="I235" s="15" t="b">
        <x:v>0</x:v>
      </x:c>
    </x:row>
    <x:row r="236">
      <x:c r="A236" s="10" t="str">
        <x:v>LOC126336414</x:v>
      </x:c>
      <x:c r="B236" s="10" t="str">
        <x:v>hemocyanin-like</x:v>
      </x:c>
      <x:c r="C236" s="10" t="str">
        <x:v>protein_coding</x:v>
      </x:c>
      <x:c r="D236" s="10" t="str">
        <x:v>Immune-related</x:v>
      </x:c>
      <x:c r="E236" s="10" t="str">
        <x:v>infection_average_all_diets; infection_diet33; infection_diet50; infection_diet83</x:v>
      </x:c>
      <x:c r="F236" s="10" t="n">
        <x:v>5.871761723595</x:v>
      </x:c>
      <x:c r="G236" s="10" t="n">
        <x:v>8.52318555660626e-24</x:v>
      </x:c>
      <x:c r="H236" s="10" t="n">
        <x:v>138.569219152311</x:v>
      </x:c>
      <x:c r="I236" s="15" t="b">
        <x:v>0</x:v>
      </x:c>
    </x:row>
    <x:row r="237">
      <x:c r="A237" s="10" t="str">
        <x:v>LOC126336415</x:v>
      </x:c>
      <x:c r="B237" s="10" t="str">
        <x:v>allergen Cr-PI-like</x:v>
      </x:c>
      <x:c r="C237" s="10" t="str">
        <x:v>protein_coding</x:v>
      </x:c>
      <x:c r="D237" s="10" t="str">
        <x:v>Immune-related</x:v>
      </x:c>
      <x:c r="E237" s="10" t="str">
        <x:v>infection_average_all_diets; infection_diet50; infection_diet83</x:v>
      </x:c>
      <x:c r="F237" s="10" t="n">
        <x:v>2.46929706481484</x:v>
      </x:c>
      <x:c r="G237" s="10" t="n">
        <x:v>5.30677907548477e-7</x:v>
      </x:c>
      <x:c r="H237" s="10" t="n">
        <x:v>10521.8260840984</x:v>
      </x:c>
      <x:c r="I237" s="15" t="b">
        <x:v>0</x:v>
      </x:c>
    </x:row>
    <x:row r="238">
      <x:c r="A238" s="10" t="str">
        <x:v>LOC126336416</x:v>
      </x:c>
      <x:c r="B238" s="10" t="str">
        <x:v>allergen Cr-PI-like</x:v>
      </x:c>
      <x:c r="C238" s="10" t="str">
        <x:v>protein_coding</x:v>
      </x:c>
      <x:c r="D238" s="10" t="str">
        <x:v>Immune-related</x:v>
      </x:c>
      <x:c r="E238" s="10" t="str">
        <x:v>infection_average_all_diets; infection_diet33; infection_diet50; infection_diet83</x:v>
      </x:c>
      <x:c r="F238" s="10" t="n">
        <x:v>2.37991373590716</x:v>
      </x:c>
      <x:c r="G238" s="10" t="n">
        <x:v>1.37874006089043e-20</x:v>
      </x:c>
      <x:c r="H238" s="10" t="n">
        <x:v>7771.16331215399</x:v>
      </x:c>
      <x:c r="I238" s="15" t="b">
        <x:v>0</x:v>
      </x:c>
    </x:row>
    <x:row r="239">
      <x:c r="A239" s="10" t="str">
        <x:v>LOC126336738</x:v>
      </x:c>
      <x:c r="B239" s="10" t="str">
        <x:v>hemolymph lipopolysaccharide-binding protein-like</x:v>
      </x:c>
      <x:c r="C239" s="10" t="str">
        <x:v>protein_coding</x:v>
      </x:c>
      <x:c r="D239" s="10" t="str">
        <x:v>Immune-related</x:v>
      </x:c>
      <x:c r="E239" s="10" t="str">
        <x:v>infection_average_all_diets; infection_diet33; infection_diet50; infection_diet83</x:v>
      </x:c>
      <x:c r="F239" s="10" t="n">
        <x:v>3.91156836607645</x:v>
      </x:c>
      <x:c r="G239" s="10" t="n">
        <x:v>1.14115335721725e-9</x:v>
      </x:c>
      <x:c r="H239" s="10" t="n">
        <x:v>61.7565906051659</x:v>
      </x:c>
      <x:c r="I239" s="15" t="b">
        <x:v>0</x:v>
      </x:c>
    </x:row>
    <x:row r="240">
      <x:c r="A240" s="10" t="str">
        <x:v>LOC126349792</x:v>
      </x:c>
      <x:c r="B240" s="10" t="str">
        <x:v>complement component 1 Q subcomponent-binding protein, mitochondrial</x:v>
      </x:c>
      <x:c r="C240" s="10" t="str">
        <x:v>protein_coding</x:v>
      </x:c>
      <x:c r="D240" s="10" t="str">
        <x:v>Immune-related</x:v>
      </x:c>
      <x:c r="E240" s="10" t="str">
        <x:v>infection_diet50</x:v>
      </x:c>
      <x:c r="F240" s="10" t="n">
        <x:v>1.00492791592874</x:v>
      </x:c>
      <x:c r="G240" s="10" t="n">
        <x:v>0.0032330001886302</x:v>
      </x:c>
      <x:c r="H240" s="10" t="n">
        <x:v>76.5447844138539</x:v>
      </x:c>
      <x:c r="I240" s="15" t="b">
        <x:v>0</x:v>
      </x:c>
    </x:row>
    <x:row r="241">
      <x:c r="A241" s="10" t="str">
        <x:v>LOC126354256</x:v>
      </x:c>
      <x:c r="B241" s="10" t="str">
        <x:v>beta-1,3-glucan-binding protein-like</x:v>
      </x:c>
      <x:c r="C241" s="10" t="str">
        <x:v>protein_coding</x:v>
      </x:c>
      <x:c r="D241" s="10" t="str">
        <x:v>Immune-related</x:v>
      </x:c>
      <x:c r="E241" s="10" t="str">
        <x:v>infection_average_all_diets; infection_diet33; infection_diet50; infection_diet83</x:v>
      </x:c>
      <x:c r="F241" s="10" t="n">
        <x:v>4.40777467869933</x:v>
      </x:c>
      <x:c r="G241" s="10" t="n">
        <x:v>3.78456755180099e-24</x:v>
      </x:c>
      <x:c r="H241" s="10" t="n">
        <x:v>269.350259059306</x:v>
      </x:c>
      <x:c r="I241" s="15" t="b">
        <x:v>0</x:v>
      </x:c>
    </x:row>
    <x:row r="242">
      <x:c r="A242" s="10" t="str">
        <x:v>LOC126355037</x:v>
      </x:c>
      <x:c r="B242" s="10" t="str">
        <x:v>beta-1,3-glucan-binding protein 2-like</x:v>
      </x:c>
      <x:c r="C242" s="10" t="str">
        <x:v>protein_coding</x:v>
      </x:c>
      <x:c r="D242" s="10" t="str">
        <x:v>Immune-related</x:v>
      </x:c>
      <x:c r="E242" s="10" t="str">
        <x:v>infection_average_all_diets; infection_diet50</x:v>
      </x:c>
      <x:c r="F242" s="10" t="n">
        <x:v>1.68677547221438</x:v>
      </x:c>
      <x:c r="G242" s="10" t="n">
        <x:v>0.000842538788117</x:v>
      </x:c>
      <x:c r="H242" s="10" t="n">
        <x:v>25.5740831900903</x:v>
      </x:c>
      <x:c r="I242" s="15" t="b">
        <x:v>0</x:v>
      </x:c>
    </x:row>
    <x:row r="243">
      <x:c r="A243" s="10" t="str">
        <x:v>LOC126355040</x:v>
      </x:c>
      <x:c r="B243" s="10" t="str">
        <x:v>beta-1,3-glucan-binding protein-like</x:v>
      </x:c>
      <x:c r="C243" s="10" t="str">
        <x:v>protein_coding</x:v>
      </x:c>
      <x:c r="D243" s="10" t="str">
        <x:v>Immune-related</x:v>
      </x:c>
      <x:c r="E243" s="10" t="str">
        <x:v>infection_average_all_diets; infection_diet50</x:v>
      </x:c>
      <x:c r="F243" s="10" t="n">
        <x:v>1.45449476858223</x:v>
      </x:c>
      <x:c r="G243" s="10" t="n">
        <x:v>0.0003076289141221</x:v>
      </x:c>
      <x:c r="H243" s="10" t="n">
        <x:v>3814.16586108322</x:v>
      </x:c>
      <x:c r="I243" s="15" t="b">
        <x:v>0</x:v>
      </x:c>
    </x:row>
    <x:row r="244">
      <x:c r="A244" s="10" t="str">
        <x:v>LOC126355041</x:v>
      </x:c>
      <x:c r="B244" s="10" t="str">
        <x:v>beta-1,3-glucan-binding protein-like</x:v>
      </x:c>
      <x:c r="C244" s="10" t="str">
        <x:v>protein_coding</x:v>
      </x:c>
      <x:c r="D244" s="10" t="str">
        <x:v>Immune-related</x:v>
      </x:c>
      <x:c r="E244" s="10" t="str">
        <x:v>infection_average_all_diets; infection_diet50; infection_diet83</x:v>
      </x:c>
      <x:c r="F244" s="10" t="n">
        <x:v>2.50966764269593</x:v>
      </x:c>
      <x:c r="G244" s="10" t="n">
        <x:v>2.48457064536596e-7</x:v>
      </x:c>
      <x:c r="H244" s="10" t="n">
        <x:v>262.235558266207</x:v>
      </x:c>
      <x:c r="I244" s="15" t="b">
        <x:v>0</x:v>
      </x:c>
    </x:row>
    <x:row r="245">
      <x:c r="A245" s="10" t="str">
        <x:v>LOC126355051</x:v>
      </x:c>
      <x:c r="B245" s="10" t="str">
        <x:v>dorsal-ventral patterning protein Sog-like</x:v>
      </x:c>
      <x:c r="C245" s="10" t="str">
        <x:v>protein_coding</x:v>
      </x:c>
      <x:c r="D245" s="10" t="str">
        <x:v>Immune-related</x:v>
      </x:c>
      <x:c r="E245" s="10" t="str">
        <x:v>infection_diet83</x:v>
      </x:c>
      <x:c r="F245" s="10" t="n">
        <x:v>1.01668999559411</x:v>
      </x:c>
      <x:c r="G245" s="10" t="n">
        <x:v>0.0156776692107631</x:v>
      </x:c>
      <x:c r="H245" s="10" t="n">
        <x:v>1499.63230985658</x:v>
      </x:c>
      <x:c r="I245" s="15" t="b">
        <x:v>0</x:v>
      </x:c>
    </x:row>
    <x:row r="246">
      <x:c r="A246" s="10" t="str">
        <x:v>LOC126355345</x:v>
      </x:c>
      <x:c r="B246" s="10" t="str">
        <x:v>uncharacterized LOC126355345</x:v>
      </x:c>
      <x:c r="C246" s="10" t="str">
        <x:v>protein_coding</x:v>
      </x:c>
      <x:c r="D246" s="10" t="str">
        <x:v>Immune-related</x:v>
      </x:c>
      <x:c r="E246" s="10" t="str">
        <x:v>infection_diet50</x:v>
      </x:c>
      <x:c r="F246" s="10" t="n">
        <x:v>1.51410645430948</x:v>
      </x:c>
      <x:c r="G246" s="10" t="n">
        <x:v>0.0171934154133687</x:v>
      </x:c>
      <x:c r="H246" s="10" t="n">
        <x:v>50.9452630777243</x:v>
      </x:c>
      <x:c r="I246" s="15" t="b">
        <x:v>0</x:v>
      </x:c>
    </x:row>
    <x:row r="247">
      <x:c r="A247" s="10" t="str">
        <x:v>LOC126355865</x:v>
      </x:c>
      <x:c r="B247" s="10" t="str">
        <x:v>uncharacterized LOC126355865</x:v>
      </x:c>
      <x:c r="C247" s="10" t="str">
        <x:v>protein_coding</x:v>
      </x:c>
      <x:c r="D247" s="10" t="str">
        <x:v>Immune-related</x:v>
      </x:c>
      <x:c r="E247" s="10" t="str">
        <x:v>infection_diet50</x:v>
      </x:c>
      <x:c r="F247" s="10" t="n">
        <x:v>1.96883514931283</x:v>
      </x:c>
      <x:c r="G247" s="10" t="n">
        <x:v>0.0304102365476333</x:v>
      </x:c>
      <x:c r="H247" s="10" t="n">
        <x:v>861.523637704261</x:v>
      </x:c>
      <x:c r="I247" s="15" t="b">
        <x:v>0</x:v>
      </x:c>
    </x:row>
    <x:row r="248">
      <x:c r="A248" s="10" t="str">
        <x:v>LOC126356285</x:v>
      </x:c>
      <x:c r="B248" s="10" t="str">
        <x:v>toll-like receptor 2</x:v>
      </x:c>
      <x:c r="C248" s="10" t="str">
        <x:v>protein_coding</x:v>
      </x:c>
      <x:c r="D248" s="10" t="str">
        <x:v>Immune-related</x:v>
      </x:c>
      <x:c r="E248" s="10" t="str">
        <x:v>infection_average_all_diets; infection_diet33; infection_diet50; infection_diet83</x:v>
      </x:c>
      <x:c r="F248" s="10" t="n">
        <x:v>3.96496866924154</x:v>
      </x:c>
      <x:c r="G248" s="10" t="n">
        <x:v>5.32649647730014e-23</x:v>
      </x:c>
      <x:c r="H248" s="10" t="n">
        <x:v>2663.84983385007</x:v>
      </x:c>
      <x:c r="I248" s="15" t="b">
        <x:v>0</x:v>
      </x:c>
    </x:row>
    <x:row r="249">
      <x:c r="A249" s="10" t="str">
        <x:v>LOC126359055</x:v>
      </x:c>
      <x:c r="B249" s="10" t="str">
        <x:v>toll-like receptor 2</x:v>
      </x:c>
      <x:c r="C249" s="10" t="str">
        <x:v>protein_coding</x:v>
      </x:c>
      <x:c r="D249" s="10" t="str">
        <x:v>Immune-related</x:v>
      </x:c>
      <x:c r="E249" s="10" t="str">
        <x:v>infection_average_all_diets; infection_diet33; infection_diet50; infection_diet83</x:v>
      </x:c>
      <x:c r="F249" s="10" t="n">
        <x:v>3.77508602197797</x:v>
      </x:c>
      <x:c r="G249" s="10" t="n">
        <x:v>2.25580880656487e-16</x:v>
      </x:c>
      <x:c r="H249" s="10" t="n">
        <x:v>189.909907046328</x:v>
      </x:c>
      <x:c r="I249" s="15" t="b">
        <x:v>0</x:v>
      </x:c>
    </x:row>
    <x:row r="250">
      <x:c r="A250" s="10" t="str">
        <x:v>LOC126359091</x:v>
      </x:c>
      <x:c r="B250" s="10" t="str">
        <x:v>toll-like receptor 2 type-2</x:v>
      </x:c>
      <x:c r="C250" s="10" t="str">
        <x:v>protein_coding</x:v>
      </x:c>
      <x:c r="D250" s="10" t="str">
        <x:v>Immune-related</x:v>
      </x:c>
      <x:c r="E250" s="10" t="str">
        <x:v>infection_average_all_diets; infection_diet50; infection_diet83</x:v>
      </x:c>
      <x:c r="F250" s="10" t="n">
        <x:v>1.91937301658097</x:v>
      </x:c>
      <x:c r="G250" s="10" t="n">
        <x:v>5.48091245982327e-10</x:v>
      </x:c>
      <x:c r="H250" s="10" t="n">
        <x:v>293.010677415878</x:v>
      </x:c>
      <x:c r="I250" s="15" t="b">
        <x:v>0</x:v>
      </x:c>
    </x:row>
    <x:row r="251">
      <x:c r="A251" s="10" t="str">
        <x:v>LOC126365786</x:v>
      </x:c>
      <x:c r="B251" s="10" t="str">
        <x:v>peptidoglycan recognition protein 3-like</x:v>
      </x:c>
      <x:c r="C251" s="10" t="str">
        <x:v>protein_coding</x:v>
      </x:c>
      <x:c r="D251" s="10" t="str">
        <x:v>Immune-related</x:v>
      </x:c>
      <x:c r="E251" s="10" t="str">
        <x:v>infection_diet83</x:v>
      </x:c>
      <x:c r="F251" s="10" t="n">
        <x:v>1.71562915974839</x:v>
      </x:c>
      <x:c r="G251" s="10" t="n">
        <x:v>0.0120793431449292</x:v>
      </x:c>
      <x:c r="H251" s="10" t="n">
        <x:v>18.444294817687</x:v>
      </x:c>
      <x:c r="I251" s="15" t="b">
        <x:v>0</x:v>
      </x:c>
    </x:row>
    <x:row r="252">
      <x:c r="A252" s="10" t="str">
        <x:v>LOC126267980</x:v>
      </x:c>
      <x:c r="B252" s="10" t="str">
        <x:v>acyl-CoA Delta-9 desaturase-like</x:v>
      </x:c>
      <x:c r="C252" s="10" t="str">
        <x:v>protein_coding</x:v>
      </x:c>
      <x:c r="D252" s="10" t="str">
        <x:v>Lipid synthesis / metabolism</x:v>
      </x:c>
      <x:c r="E252" s="10" t="str">
        <x:v>infection_average_all_diets; infection_diet33; infection_diet50; infection_diet83</x:v>
      </x:c>
      <x:c r="F252" s="10" t="n">
        <x:v>4.31986504997028</x:v>
      </x:c>
      <x:c r="G252" s="10" t="n">
        <x:v>3.9292285254455596e-11</x:v>
      </x:c>
      <x:c r="H252" s="10" t="n">
        <x:v>51.7223845479471</x:v>
      </x:c>
      <x:c r="I252" s="15" t="b">
        <x:v>0</x:v>
      </x:c>
    </x:row>
    <x:row r="253">
      <x:c r="A253" s="10" t="str">
        <x:v>LOC126268026</x:v>
      </x:c>
      <x:c r="B253" s="10" t="str">
        <x:v>juvenile hormone esterase-like</x:v>
      </x:c>
      <x:c r="C253" s="10" t="str">
        <x:v>protein_coding</x:v>
      </x:c>
      <x:c r="D253" s="10" t="str">
        <x:v>Lipid synthesis / metabolism</x:v>
      </x:c>
      <x:c r="E253" s="10" t="str">
        <x:v>infection_average_all_diets; infection_diet50</x:v>
      </x:c>
      <x:c r="F253" s="10" t="n">
        <x:v>2.03746762640222</x:v>
      </x:c>
      <x:c r="G253" s="10" t="n">
        <x:v>0.0087806393610094</x:v>
      </x:c>
      <x:c r="H253" s="10" t="n">
        <x:v>4562.86443296721</x:v>
      </x:c>
      <x:c r="I253" s="15" t="b">
        <x:v>0</x:v>
      </x:c>
    </x:row>
    <x:row r="254">
      <x:c r="A254" s="10" t="str">
        <x:v>LOC126268133</x:v>
      </x:c>
      <x:c r="B254" s="10" t="str">
        <x:v>1-phosphatidylinositol 4,5-bisphosphate phosphodiesterase gamma-1</x:v>
      </x:c>
      <x:c r="C254" s="10" t="str">
        <x:v>protein_coding</x:v>
      </x:c>
      <x:c r="D254" s="10" t="str">
        <x:v>Lipid synthesis / metabolism</x:v>
      </x:c>
      <x:c r="E254" s="10" t="str">
        <x:v>infection_diet50</x:v>
      </x:c>
      <x:c r="F254" s="10" t="n">
        <x:v>1.02510184966768</x:v>
      </x:c>
      <x:c r="G254" s="10" t="n">
        <x:v>0.0000110316649378556</x:v>
      </x:c>
      <x:c r="H254" s="10" t="n">
        <x:v>742.199132175381</x:v>
      </x:c>
      <x:c r="I254" s="15" t="b">
        <x:v>0</x:v>
      </x:c>
    </x:row>
    <x:row r="255">
      <x:c r="A255" s="10" t="str">
        <x:v>LOC126268198</x:v>
      </x:c>
      <x:c r="B255" s="10" t="str">
        <x:v>peroxisomal acyl-coenzyme A oxidase 3-like</x:v>
      </x:c>
      <x:c r="C255" s="10" t="str">
        <x:v>protein_coding</x:v>
      </x:c>
      <x:c r="D255" s="10" t="str">
        <x:v>Lipid synthesis / metabolism</x:v>
      </x:c>
      <x:c r="E255" s="10" t="str">
        <x:v>control_diet33_vs50; infection_diet33</x:v>
      </x:c>
      <x:c r="F255" s="10" t="n">
        <x:v>2.10568170383701</x:v>
      </x:c>
      <x:c r="G255" s="10" t="n">
        <x:v>0.0083258819189761</x:v>
      </x:c>
      <x:c r="H255" s="10" t="n">
        <x:v>113.17956943832</x:v>
      </x:c>
      <x:c r="I255" s="15" t="b">
        <x:v>0</x:v>
      </x:c>
    </x:row>
    <x:row r="256">
      <x:c r="A256" s="10" t="str">
        <x:v>LOC126272038</x:v>
      </x:c>
      <x:c r="B256" s="10" t="str">
        <x:v>protein VAC14 homolog</x:v>
      </x:c>
      <x:c r="C256" s="10" t="str">
        <x:v>protein_coding</x:v>
      </x:c>
      <x:c r="D256" s="10" t="str">
        <x:v>Lipid synthesis / metabolism</x:v>
      </x:c>
      <x:c r="E256" s="10" t="str">
        <x:v>infection_average_all_diets; infection_diet33; infection_diet50; infection_diet83</x:v>
      </x:c>
      <x:c r="F256" s="10" t="n">
        <x:v>1.28373113444957</x:v>
      </x:c>
      <x:c r="G256" s="10" t="n">
        <x:v>2.95122800878545e-10</x:v>
      </x:c>
      <x:c r="H256" s="10" t="n">
        <x:v>422.575773003781</x:v>
      </x:c>
      <x:c r="I256" s="15" t="b">
        <x:v>0</x:v>
      </x:c>
    </x:row>
    <x:row r="257">
      <x:c r="A257" s="10" t="str">
        <x:v>LOC126272096</x:v>
      </x:c>
      <x:c r="B257" s="10" t="str">
        <x:v>fatty acid synthase-like</x:v>
      </x:c>
      <x:c r="C257" s="10" t="str">
        <x:v>protein_coding</x:v>
      </x:c>
      <x:c r="D257" s="10" t="str">
        <x:v>Lipid synthesis / metabolism</x:v>
      </x:c>
      <x:c r="E257" s="10" t="str">
        <x:v>infected_diet83_vs33; infection_diet50</x:v>
      </x:c>
      <x:c r="F257" s="10" t="n">
        <x:v>3.86239397123492</x:v>
      </x:c>
      <x:c r="G257" s="10" t="n">
        <x:v>0.0194945288811906</x:v>
      </x:c>
      <x:c r="H257" s="10" t="n">
        <x:v>297.707990224686</x:v>
      </x:c>
      <x:c r="I257" s="15" t="b">
        <x:v>0</x:v>
      </x:c>
    </x:row>
    <x:row r="258">
      <x:c r="A258" s="10" t="str">
        <x:v>LOC126272336</x:v>
      </x:c>
      <x:c r="B258" s="10" t="str">
        <x:v>uncharacterized LOC126272336</x:v>
      </x:c>
      <x:c r="C258" s="10" t="str">
        <x:v>protein_coding</x:v>
      </x:c>
      <x:c r="D258" s="10" t="str">
        <x:v>Lipid synthesis / metabolism</x:v>
      </x:c>
      <x:c r="E258" s="10" t="str">
        <x:v>infection_average_all_diets; infection_diet33; infection_diet50; infection_diet83</x:v>
      </x:c>
      <x:c r="F258" s="10" t="n">
        <x:v>1.67696052683457</x:v>
      </x:c>
      <x:c r="G258" s="10" t="n">
        <x:v>6.64988696240906e-10</x:v>
      </x:c>
      <x:c r="H258" s="10" t="n">
        <x:v>1433.86186967738</x:v>
      </x:c>
      <x:c r="I258" s="15" t="b">
        <x:v>0</x:v>
      </x:c>
    </x:row>
    <x:row r="259">
      <x:c r="A259" s="10" t="str">
        <x:v>LOC126272399</x:v>
      </x:c>
      <x:c r="B259" s="10" t="str">
        <x:v>oxysterol-binding protein-related protein 9</x:v>
      </x:c>
      <x:c r="C259" s="10" t="str">
        <x:v>protein_coding</x:v>
      </x:c>
      <x:c r="D259" s="10" t="str">
        <x:v>Lipid synthesis / metabolism</x:v>
      </x:c>
      <x:c r="E259" s="10" t="str">
        <x:v>infection_average_all_diets; infection_diet33; infection_diet50; infection_diet83</x:v>
      </x:c>
      <x:c r="F259" s="10" t="n">
        <x:v>1.47552639094103</x:v>
      </x:c>
      <x:c r="G259" s="10" t="n">
        <x:v>6.90309794027434e-12</x:v>
      </x:c>
      <x:c r="H259" s="10" t="n">
        <x:v>2779.98526038365</x:v>
      </x:c>
      <x:c r="I259" s="15" t="b">
        <x:v>0</x:v>
      </x:c>
    </x:row>
    <x:row r="260">
      <x:c r="A260" s="10" t="str">
        <x:v>LOC126272567</x:v>
      </x:c>
      <x:c r="B260" s="10" t="str">
        <x:v>dolichyl-diphosphooligosaccharide--protein glycosyltransferase subunit DAD1</x:v>
      </x:c>
      <x:c r="C260" s="10" t="str">
        <x:v>protein_coding</x:v>
      </x:c>
      <x:c r="D260" s="10" t="str">
        <x:v>Lipid synthesis / metabolism</x:v>
      </x:c>
      <x:c r="E260" s="10" t="str">
        <x:v>infection_diet50</x:v>
      </x:c>
      <x:c r="F260" s="10" t="n">
        <x:v>1.22318662697458</x:v>
      </x:c>
      <x:c r="G260" s="10" t="n">
        <x:v>0.0296410106280715</x:v>
      </x:c>
      <x:c r="H260" s="10" t="n">
        <x:v>34.0303977927559</x:v>
      </x:c>
      <x:c r="I260" s="15" t="b">
        <x:v>0</x:v>
      </x:c>
    </x:row>
    <x:row r="261">
      <x:c r="A261" s="10" t="str">
        <x:v>LOC126272750</x:v>
      </x:c>
      <x:c r="B261" s="10" t="str">
        <x:v>annexin B9-like</x:v>
      </x:c>
      <x:c r="C261" s="10" t="str">
        <x:v>protein_coding</x:v>
      </x:c>
      <x:c r="D261" s="10" t="str">
        <x:v>Lipid synthesis / metabolism</x:v>
      </x:c>
      <x:c r="E261" s="10" t="str">
        <x:v>infection_average_all_diets; infection_diet33; infection_diet50; infection_diet83</x:v>
      </x:c>
      <x:c r="F261" s="10" t="n">
        <x:v>1.60323873205304</x:v>
      </x:c>
      <x:c r="G261" s="10" t="n">
        <x:v>2.9978778313581103e-9</x:v>
      </x:c>
      <x:c r="H261" s="10" t="n">
        <x:v>1176.59757335255</x:v>
      </x:c>
      <x:c r="I261" s="15" t="b">
        <x:v>0</x:v>
      </x:c>
    </x:row>
    <x:row r="262">
      <x:c r="A262" s="10" t="str">
        <x:v>LOC126273067</x:v>
      </x:c>
      <x:c r="B262" s="10" t="str">
        <x:v>uncharacterized LOC126273067</x:v>
      </x:c>
      <x:c r="C262" s="10" t="str">
        <x:v>protein_coding</x:v>
      </x:c>
      <x:c r="D262" s="10" t="str">
        <x:v>Lipid synthesis / metabolism</x:v>
      </x:c>
      <x:c r="E262" s="10" t="str">
        <x:v>infected_diet33_vs50; infection_diet50</x:v>
      </x:c>
      <x:c r="F262" s="10" t="n">
        <x:v>3.6078570011521</x:v>
      </x:c>
      <x:c r="G262" s="10" t="n">
        <x:v>0.0002805894204516</x:v>
      </x:c>
      <x:c r="H262" s="10" t="n">
        <x:v>99.3359529107303</x:v>
      </x:c>
      <x:c r="I262" s="15" t="b">
        <x:v>0</x:v>
      </x:c>
    </x:row>
    <x:row r="263">
      <x:c r="A263" s="10" t="str">
        <x:v>LOC126273130</x:v>
      </x:c>
      <x:c r="B263" s="10" t="str">
        <x:v>esterase E4-like</x:v>
      </x:c>
      <x:c r="C263" s="10" t="str">
        <x:v>protein_coding</x:v>
      </x:c>
      <x:c r="D263" s="10" t="str">
        <x:v>Lipid synthesis / metabolism</x:v>
      </x:c>
      <x:c r="E263" s="10" t="str">
        <x:v>infection_average_all_diets; infection_diet33; infection_diet50; infection_diet83</x:v>
      </x:c>
      <x:c r="F263" s="10" t="n">
        <x:v>4.86076041385502</x:v>
      </x:c>
      <x:c r="G263" s="10" t="n">
        <x:v>2.9762022796904e-14</x:v>
      </x:c>
      <x:c r="H263" s="10" t="n">
        <x:v>2620.55676610174</x:v>
      </x:c>
      <x:c r="I263" s="15" t="b">
        <x:v>0</x:v>
      </x:c>
    </x:row>
    <x:row r="264">
      <x:c r="A264" s="10" t="str">
        <x:v>LOC126273244</x:v>
      </x:c>
      <x:c r="B264" s="10" t="str">
        <x:v>venom carboxylesterase-6-like</x:v>
      </x:c>
      <x:c r="C264" s="10" t="str">
        <x:v>protein_coding</x:v>
      </x:c>
      <x:c r="D264" s="10" t="str">
        <x:v>Lipid synthesis / metabolism</x:v>
      </x:c>
      <x:c r="E264" s="10" t="str">
        <x:v>infection_average_all_diets</x:v>
      </x:c>
      <x:c r="F264" s="10" t="n">
        <x:v>1.36487822983404</x:v>
      </x:c>
      <x:c r="G264" s="10" t="n">
        <x:v>0.0074168767560809</x:v>
      </x:c>
      <x:c r="H264" s="10" t="n">
        <x:v>22.4832888911363</x:v>
      </x:c>
      <x:c r="I264" s="15" t="b">
        <x:v>0</x:v>
      </x:c>
    </x:row>
    <x:row r="265">
      <x:c r="A265" s="10" t="str">
        <x:v>LOC126273423</x:v>
      </x:c>
      <x:c r="B265" s="10" t="str">
        <x:v>lipid storage droplets surface-binding protein 1</x:v>
      </x:c>
      <x:c r="C265" s="10" t="str">
        <x:v>protein_coding</x:v>
      </x:c>
      <x:c r="D265" s="10" t="str">
        <x:v>Lipid synthesis / metabolism</x:v>
      </x:c>
      <x:c r="E265" s="10" t="str">
        <x:v>infection_average_all_diets; infection_diet50</x:v>
      </x:c>
      <x:c r="F265" s="10" t="n">
        <x:v>1.39539480210463</x:v>
      </x:c>
      <x:c r="G265" s="10" t="n">
        <x:v>0.0000485850456660232</x:v>
      </x:c>
      <x:c r="H265" s="10" t="n">
        <x:v>2624.20296724965</x:v>
      </x:c>
      <x:c r="I265" s="15" t="b">
        <x:v>0</x:v>
      </x:c>
    </x:row>
    <x:row r="266">
      <x:c r="A266" s="10" t="str">
        <x:v>LOC126273784</x:v>
      </x:c>
      <x:c r="B266" s="10" t="str">
        <x:v>uncharacterized LOC126273784</x:v>
      </x:c>
      <x:c r="C266" s="10" t="str">
        <x:v>protein_coding</x:v>
      </x:c>
      <x:c r="D266" s="10" t="str">
        <x:v>Lipid synthesis / metabolism</x:v>
      </x:c>
      <x:c r="E266" s="10" t="str">
        <x:v>infection_average_all_diets; infection_diet33; infection_diet50; infection_diet83</x:v>
      </x:c>
      <x:c r="F266" s="10" t="n">
        <x:v>3.09793163083417</x:v>
      </x:c>
      <x:c r="G266" s="10" t="n">
        <x:v>4.49457488122488e-8</x:v>
      </x:c>
      <x:c r="H266" s="10" t="n">
        <x:v>1236.98787162917</x:v>
      </x:c>
      <x:c r="I266" s="15" t="b">
        <x:v>0</x:v>
      </x:c>
    </x:row>
    <x:row r="267">
      <x:c r="A267" s="10" t="str">
        <x:v>LOC126275659</x:v>
      </x:c>
      <x:c r="B267" s="10" t="str">
        <x:v>short/branched chain specific acyl-CoA dehydrogenase, mitochondrial</x:v>
      </x:c>
      <x:c r="C267" s="10" t="str">
        <x:v>protein_coding</x:v>
      </x:c>
      <x:c r="D267" s="10" t="str">
        <x:v>Lipid synthesis / metabolism</x:v>
      </x:c>
      <x:c r="E267" s="10" t="str">
        <x:v>infection_diet83</x:v>
      </x:c>
      <x:c r="F267" s="10" t="n">
        <x:v>1.13434900502568</x:v>
      </x:c>
      <x:c r="G267" s="10" t="n">
        <x:v>0.0434279251900772</x:v>
      </x:c>
      <x:c r="H267" s="10" t="n">
        <x:v>832.073598812719</x:v>
      </x:c>
      <x:c r="I267" s="15" t="b">
        <x:v>0</x:v>
      </x:c>
    </x:row>
    <x:row r="268">
      <x:c r="A268" s="10" t="str">
        <x:v>LOC126278002</x:v>
      </x:c>
      <x:c r="B268" s="10" t="str">
        <x:v>medium-chain acyl-CoA ligase ACSF2, mitochondrial-like</x:v>
      </x:c>
      <x:c r="C268" s="10" t="str">
        <x:v>protein_coding</x:v>
      </x:c>
      <x:c r="D268" s="10" t="str">
        <x:v>Lipid synthesis / metabolism</x:v>
      </x:c>
      <x:c r="E268" s="10" t="str">
        <x:v>infection_average_all_diets; infection_diet33; infection_diet50</x:v>
      </x:c>
      <x:c r="F268" s="10" t="n">
        <x:v>1.46332977480137</x:v>
      </x:c>
      <x:c r="G268" s="10" t="n">
        <x:v>0.00000244595398165428</x:v>
      </x:c>
      <x:c r="H268" s="10" t="n">
        <x:v>82.0377337610979</x:v>
      </x:c>
      <x:c r="I268" s="15" t="b">
        <x:v>0</x:v>
      </x:c>
    </x:row>
    <x:row r="269">
      <x:c r="A269" s="10" t="str">
        <x:v>LOC126278040</x:v>
      </x:c>
      <x:c r="B269" s="10" t="str">
        <x:v>medium-chain acyl-CoA ligase ACSF2, mitochondrial-like</x:v>
      </x:c>
      <x:c r="C269" s="10" t="str">
        <x:v>protein_coding</x:v>
      </x:c>
      <x:c r="D269" s="10" t="str">
        <x:v>Lipid synthesis / metabolism</x:v>
      </x:c>
      <x:c r="E269" s="10" t="str">
        <x:v>infection_diet33</x:v>
      </x:c>
      <x:c r="F269" s="10" t="n">
        <x:v>1.00409245917237</x:v>
      </x:c>
      <x:c r="G269" s="10" t="n">
        <x:v>0.0002633087001691</x:v>
      </x:c>
      <x:c r="H269" s="10" t="n">
        <x:v>304.853014625515</x:v>
      </x:c>
      <x:c r="I269" s="15" t="b">
        <x:v>0</x:v>
      </x:c>
    </x:row>
    <x:row r="270">
      <x:c r="A270" s="10" t="str">
        <x:v>LOC126278068</x:v>
      </x:c>
      <x:c r="B270" s="10" t="str">
        <x:v>lipase 3-like</x:v>
      </x:c>
      <x:c r="C270" s="10" t="str">
        <x:v>protein_coding</x:v>
      </x:c>
      <x:c r="D270" s="10" t="str">
        <x:v>Lipid synthesis / metabolism</x:v>
      </x:c>
      <x:c r="E270" s="10" t="str">
        <x:v>infection_average_all_diets; infection_diet33; infection_diet50; infection_diet83</x:v>
      </x:c>
      <x:c r="F270" s="10" t="n">
        <x:v>3.16942539465861</x:v>
      </x:c>
      <x:c r="G270" s="10" t="n">
        <x:v>1.24269380374922e-9</x:v>
      </x:c>
      <x:c r="H270" s="10" t="n">
        <x:v>112.904438057279</x:v>
      </x:c>
      <x:c r="I270" s="15" t="b">
        <x:v>0</x:v>
      </x:c>
    </x:row>
    <x:row r="271">
      <x:c r="A271" s="10" t="str">
        <x:v>LOC126278148</x:v>
      </x:c>
      <x:c r="B271" s="10" t="str">
        <x:v>phospholipase A1 member A-like</x:v>
      </x:c>
      <x:c r="C271" s="10" t="str">
        <x:v>protein_coding</x:v>
      </x:c>
      <x:c r="D271" s="10" t="str">
        <x:v>Lipid synthesis / metabolism</x:v>
      </x:c>
      <x:c r="E271" s="10" t="str">
        <x:v>infection_diet83</x:v>
      </x:c>
      <x:c r="F271" s="10" t="n">
        <x:v>1.53050599447822</x:v>
      </x:c>
      <x:c r="G271" s="10" t="n">
        <x:v>0.0305912308412195</x:v>
      </x:c>
      <x:c r="H271" s="10" t="n">
        <x:v>69.9276386684978</x:v>
      </x:c>
      <x:c r="I271" s="15" t="b">
        <x:v>0</x:v>
      </x:c>
    </x:row>
    <x:row r="272">
      <x:c r="A272" s="10" t="str">
        <x:v>LOC126278149</x:v>
      </x:c>
      <x:c r="B272" s="10" t="str">
        <x:v>phospholipase A1-like</x:v>
      </x:c>
      <x:c r="C272" s="10" t="str">
        <x:v>protein_coding</x:v>
      </x:c>
      <x:c r="D272" s="10" t="str">
        <x:v>Lipid synthesis / metabolism</x:v>
      </x:c>
      <x:c r="E272" s="10" t="str">
        <x:v>infected_diet83_vs33; infection_diet33; infection_diet50</x:v>
      </x:c>
      <x:c r="F272" s="10" t="n">
        <x:v>1.7026349146911</x:v>
      </x:c>
      <x:c r="G272" s="10" t="n">
        <x:v>0.000594647062238</x:v>
      </x:c>
      <x:c r="H272" s="10" t="n">
        <x:v>76.1665562273277</x:v>
      </x:c>
      <x:c r="I272" s="15" t="b">
        <x:v>0</x:v>
      </x:c>
    </x:row>
    <x:row r="273">
      <x:c r="A273" s="10" t="str">
        <x:v>LOC126278490</x:v>
      </x:c>
      <x:c r="B273" s="10" t="str">
        <x:v>phospholipase A1 member A-like</x:v>
      </x:c>
      <x:c r="C273" s="10" t="str">
        <x:v>protein_coding</x:v>
      </x:c>
      <x:c r="D273" s="10" t="str">
        <x:v>Lipid synthesis / metabolism</x:v>
      </x:c>
      <x:c r="E273" s="10" t="str">
        <x:v>infected_diet33_vs50</x:v>
      </x:c>
      <x:c r="F273" s="10" t="n">
        <x:v>1.46571851953719</x:v>
      </x:c>
      <x:c r="G273" s="10" t="n">
        <x:v>0.0132027424242067</x:v>
      </x:c>
      <x:c r="H273" s="10" t="n">
        <x:v>113.91548137014</x:v>
      </x:c>
      <x:c r="I273" s="15" t="b">
        <x:v>0</x:v>
      </x:c>
    </x:row>
    <x:row r="274">
      <x:c r="A274" s="10" t="str">
        <x:v>LOC126278504</x:v>
      </x:c>
      <x:c r="B274" s="10" t="str">
        <x:v>phospholipase B1, membrane-associated-like</x:v>
      </x:c>
      <x:c r="C274" s="10" t="str">
        <x:v>protein_coding</x:v>
      </x:c>
      <x:c r="D274" s="10" t="str">
        <x:v>Lipid synthesis / metabolism</x:v>
      </x:c>
      <x:c r="E274" s="10" t="str">
        <x:v>infection_diet50</x:v>
      </x:c>
      <x:c r="F274" s="10" t="n">
        <x:v>1.36311407450288</x:v>
      </x:c>
      <x:c r="G274" s="10" t="n">
        <x:v>0.049987637310205</x:v>
      </x:c>
      <x:c r="H274" s="10" t="n">
        <x:v>5.31297189663584</x:v>
      </x:c>
      <x:c r="I274" s="15" t="b">
        <x:v>0</x:v>
      </x:c>
    </x:row>
    <x:row r="275">
      <x:c r="A275" s="10" t="str">
        <x:v>LOC126278587</x:v>
      </x:c>
      <x:c r="B275" s="10" t="str">
        <x:v>lipase 3-like</x:v>
      </x:c>
      <x:c r="C275" s="10" t="str">
        <x:v>protein_coding</x:v>
      </x:c>
      <x:c r="D275" s="10" t="str">
        <x:v>Lipid synthesis / metabolism</x:v>
      </x:c>
      <x:c r="E275" s="10" t="str">
        <x:v>infection_diet83</x:v>
      </x:c>
      <x:c r="F275" s="10" t="n">
        <x:v>1.27482868059364</x:v>
      </x:c>
      <x:c r="G275" s="10" t="n">
        <x:v>0.0233972488005402</x:v>
      </x:c>
      <x:c r="H275" s="10" t="n">
        <x:v>21.3829715355797</x:v>
      </x:c>
      <x:c r="I275" s="15" t="b">
        <x:v>0</x:v>
      </x:c>
    </x:row>
    <x:row r="276">
      <x:c r="A276" s="10" t="str">
        <x:v>LOC126278594</x:v>
      </x:c>
      <x:c r="B276" s="10" t="str">
        <x:v>fatty acid 2-hydroxylase</x:v>
      </x:c>
      <x:c r="C276" s="10" t="str">
        <x:v>protein_coding</x:v>
      </x:c>
      <x:c r="D276" s="10" t="str">
        <x:v>Lipid synthesis / metabolism</x:v>
      </x:c>
      <x:c r="E276" s="10" t="str">
        <x:v>control_diet83_vs50</x:v>
      </x:c>
      <x:c r="F276" s="10" t="n">
        <x:v>2.39873457396045</x:v>
      </x:c>
      <x:c r="G276" s="10" t="n">
        <x:v>0.0321887495424999</x:v>
      </x:c>
      <x:c r="H276" s="10" t="n">
        <x:v>137.790144161752</x:v>
      </x:c>
      <x:c r="I276" s="15" t="b">
        <x:v>1</x:v>
      </x:c>
    </x:row>
    <x:row r="277">
      <x:c r="A277" s="10" t="str">
        <x:v>LOC126278972</x:v>
      </x:c>
      <x:c r="B277" s="10" t="str">
        <x:v>inactive pancreatic lipase-related protein 1</x:v>
      </x:c>
      <x:c r="C277" s="10" t="str">
        <x:v>protein_coding</x:v>
      </x:c>
      <x:c r="D277" s="10" t="str">
        <x:v>Lipid synthesis / metabolism</x:v>
      </x:c>
      <x:c r="E277" s="10" t="str">
        <x:v>infection_average_all_diets; infection_diet33</x:v>
      </x:c>
      <x:c r="F277" s="10" t="n">
        <x:v>2.08948048679285</x:v>
      </x:c>
      <x:c r="G277" s="10" t="n">
        <x:v>0.0004798526139909</x:v>
      </x:c>
      <x:c r="H277" s="10" t="n">
        <x:v>158.436904986394</x:v>
      </x:c>
      <x:c r="I277" s="15" t="b">
        <x:v>0</x:v>
      </x:c>
    </x:row>
    <x:row r="278">
      <x:c r="A278" s="10" t="str">
        <x:v>LOC126279109</x:v>
      </x:c>
      <x:c r="B278" s="10" t="str">
        <x:v>long-chain fatty acid transport protein 1-like</x:v>
      </x:c>
      <x:c r="C278" s="10" t="str">
        <x:v>protein_coding</x:v>
      </x:c>
      <x:c r="D278" s="10" t="str">
        <x:v>Lipid synthesis / metabolism</x:v>
      </x:c>
      <x:c r="E278" s="10" t="str">
        <x:v>infection_average_all_diets; infection_diet33; infection_diet50</x:v>
      </x:c>
      <x:c r="F278" s="10" t="n">
        <x:v>2.04895065263785</x:v>
      </x:c>
      <x:c r="G278" s="10" t="n">
        <x:v>7.303739279329321e-9</x:v>
      </x:c>
      <x:c r="H278" s="10" t="n">
        <x:v>22.5654619060536</x:v>
      </x:c>
      <x:c r="I278" s="15" t="b">
        <x:v>0</x:v>
      </x:c>
    </x:row>
    <x:row r="279">
      <x:c r="A279" s="10" t="str">
        <x:v>LOC126280991</x:v>
      </x:c>
      <x:c r="B279" s="10" t="str">
        <x:v>apolipoprotein D-like</x:v>
      </x:c>
      <x:c r="C279" s="10" t="str">
        <x:v>protein_coding</x:v>
      </x:c>
      <x:c r="D279" s="10" t="str">
        <x:v>Lipid synthesis / metabolism</x:v>
      </x:c>
      <x:c r="E279" s="10" t="str">
        <x:v>infection_average_all_diets; infection_diet33; infection_diet50</x:v>
      </x:c>
      <x:c r="F279" s="10" t="n">
        <x:v>1.40595566744709</x:v>
      </x:c>
      <x:c r="G279" s="10" t="n">
        <x:v>0.00000415958979485643</x:v>
      </x:c>
      <x:c r="H279" s="10" t="n">
        <x:v>1917.19494944908</x:v>
      </x:c>
      <x:c r="I279" s="15" t="b">
        <x:v>0</x:v>
      </x:c>
    </x:row>
    <x:row r="280">
      <x:c r="A280" s="10" t="str">
        <x:v>LOC126281608</x:v>
      </x:c>
      <x:c r="B280" s="10" t="str">
        <x:v>protein kinase C, brain isozyme</x:v>
      </x:c>
      <x:c r="C280" s="10" t="str">
        <x:v>protein_coding</x:v>
      </x:c>
      <x:c r="D280" s="10" t="str">
        <x:v>Lipid synthesis / metabolism</x:v>
      </x:c>
      <x:c r="E280" s="10" t="str">
        <x:v>infection_diet50</x:v>
      </x:c>
      <x:c r="F280" s="10" t="n">
        <x:v>1.32814080868993</x:v>
      </x:c>
      <x:c r="G280" s="10" t="n">
        <x:v>0.0187118338232155</x:v>
      </x:c>
      <x:c r="H280" s="10" t="n">
        <x:v>8961.56490663328</x:v>
      </x:c>
      <x:c r="I280" s="15" t="b">
        <x:v>0</x:v>
      </x:c>
    </x:row>
    <x:row r="281">
      <x:c r="A281" s="10" t="str">
        <x:v>LOC126281691</x:v>
      </x:c>
      <x:c r="B281" s="10" t="str">
        <x:v>lipase 3-like</x:v>
      </x:c>
      <x:c r="C281" s="10" t="str">
        <x:v>protein_coding</x:v>
      </x:c>
      <x:c r="D281" s="10" t="str">
        <x:v>Lipid synthesis / metabolism</x:v>
      </x:c>
      <x:c r="E281" s="10" t="str">
        <x:v>infection_average_all_diets; infection_diet33; infection_diet50</x:v>
      </x:c>
      <x:c r="F281" s="10" t="n">
        <x:v>1.59427025631029</x:v>
      </x:c>
      <x:c r="G281" s="10" t="n">
        <x:v>0.00000725131174804034</x:v>
      </x:c>
      <x:c r="H281" s="10" t="n">
        <x:v>13.6314958210767</x:v>
      </x:c>
      <x:c r="I281" s="15" t="b">
        <x:v>0</x:v>
      </x:c>
    </x:row>
    <x:row r="282">
      <x:c r="A282" s="10" t="str">
        <x:v>LOC126281758</x:v>
      </x:c>
      <x:c r="B282" s="10" t="str">
        <x:v>phorbol ester/diacylglycerol-binding protein unc-13-like</x:v>
      </x:c>
      <x:c r="C282" s="10" t="str">
        <x:v>protein_coding</x:v>
      </x:c>
      <x:c r="D282" s="10" t="str">
        <x:v>Lipid synthesis / metabolism</x:v>
      </x:c>
      <x:c r="E282" s="10" t="str">
        <x:v>infection_average_all_diets</x:v>
      </x:c>
      <x:c r="F282" s="10" t="n">
        <x:v>1.04867736028741</x:v>
      </x:c>
      <x:c r="G282" s="10" t="n">
        <x:v>0.0025476820109736</x:v>
      </x:c>
      <x:c r="H282" s="10" t="n">
        <x:v>233.88797425742</x:v>
      </x:c>
      <x:c r="I282" s="15" t="b">
        <x:v>0</x:v>
      </x:c>
    </x:row>
    <x:row r="283">
      <x:c r="A283" s="10" t="str">
        <x:v>LOC126281781</x:v>
      </x:c>
      <x:c r="B283" s="10" t="str">
        <x:v>acetylcholinesterase-like</x:v>
      </x:c>
      <x:c r="C283" s="10" t="str">
        <x:v>protein_coding</x:v>
      </x:c>
      <x:c r="D283" s="10" t="str">
        <x:v>Lipid synthesis / metabolism</x:v>
      </x:c>
      <x:c r="E283" s="10" t="str">
        <x:v>infection_average_all_diets; infection_diet50; infection_diet83</x:v>
      </x:c>
      <x:c r="F283" s="10" t="n">
        <x:v>4.79076754384185</x:v>
      </x:c>
      <x:c r="G283" s="10" t="n">
        <x:v>8.29942996069438e-11</x:v>
      </x:c>
      <x:c r="H283" s="10" t="n">
        <x:v>87.5909461836014</x:v>
      </x:c>
      <x:c r="I283" s="15" t="b">
        <x:v>0</x:v>
      </x:c>
    </x:row>
    <x:row r="284">
      <x:c r="A284" s="10" t="str">
        <x:v>LOC126282076</x:v>
      </x:c>
      <x:c r="B284" s="10" t="str">
        <x:v>lipase 3-like</x:v>
      </x:c>
      <x:c r="C284" s="10" t="str">
        <x:v>protein_coding</x:v>
      </x:c>
      <x:c r="D284" s="10" t="str">
        <x:v>Lipid synthesis / metabolism</x:v>
      </x:c>
      <x:c r="E284" s="10" t="str">
        <x:v>infection_diet50</x:v>
      </x:c>
      <x:c r="F284" s="10" t="n">
        <x:v>1.85572269013115</x:v>
      </x:c>
      <x:c r="G284" s="10" t="n">
        <x:v>0.0026774824298757</x:v>
      </x:c>
      <x:c r="H284" s="10" t="n">
        <x:v>11.300821423183</x:v>
      </x:c>
      <x:c r="I284" s="15" t="b">
        <x:v>0</x:v>
      </x:c>
    </x:row>
    <x:row r="285">
      <x:c r="A285" s="10" t="str">
        <x:v>LOC126282077</x:v>
      </x:c>
      <x:c r="B285" s="10" t="str">
        <x:v>lipase 3-like</x:v>
      </x:c>
      <x:c r="C285" s="10" t="str">
        <x:v>protein_coding</x:v>
      </x:c>
      <x:c r="D285" s="10" t="str">
        <x:v>Lipid synthesis / metabolism</x:v>
      </x:c>
      <x:c r="E285" s="10" t="str">
        <x:v>infection_average_all_diets; infection_diet33; infection_diet50</x:v>
      </x:c>
      <x:c r="F285" s="10" t="n">
        <x:v>1.92142680327127</x:v>
      </x:c>
      <x:c r="G285" s="10" t="n">
        <x:v>0.0005193703086186</x:v>
      </x:c>
      <x:c r="H285" s="10" t="n">
        <x:v>682.951323793321</x:v>
      </x:c>
      <x:c r="I285" s="15" t="b">
        <x:v>0</x:v>
      </x:c>
    </x:row>
    <x:row r="286">
      <x:c r="A286" s="10" t="str">
        <x:v>LOC126282167</x:v>
      </x:c>
      <x:c r="B286" s="10" t="str">
        <x:v>patatin-like phospholipase domain-containing protein 2</x:v>
      </x:c>
      <x:c r="C286" s="10" t="str">
        <x:v>protein_coding</x:v>
      </x:c>
      <x:c r="D286" s="10" t="str">
        <x:v>Lipid synthesis / metabolism</x:v>
      </x:c>
      <x:c r="E286" s="10" t="str">
        <x:v>control_diet83_vs33; infection_average_all_diets; infection_diet33; infection_diet50</x:v>
      </x:c>
      <x:c r="F286" s="10" t="n">
        <x:v>2.70495484203071</x:v>
      </x:c>
      <x:c r="G286" s="10" t="n">
        <x:v>0.0007863392804522</x:v>
      </x:c>
      <x:c r="H286" s="10" t="n">
        <x:v>857.774582059395</x:v>
      </x:c>
      <x:c r="I286" s="15" t="b">
        <x:v>0</x:v>
      </x:c>
    </x:row>
    <x:row r="287">
      <x:c r="A287" s="10" t="str">
        <x:v>LOC126282181</x:v>
      </x:c>
      <x:c r="B287" s="10" t="str">
        <x:v>juvenile hormone esterase-like</x:v>
      </x:c>
      <x:c r="C287" s="10" t="str">
        <x:v>protein_coding</x:v>
      </x:c>
      <x:c r="D287" s="10" t="str">
        <x:v>Lipid synthesis / metabolism</x:v>
      </x:c>
      <x:c r="E287" s="10" t="str">
        <x:v>infected_diet83_vs33; infection_average_all_diets; infection_diet33; infection_diet50; infection_diet83</x:v>
      </x:c>
      <x:c r="F287" s="10" t="n">
        <x:v>5.49907498930785</x:v>
      </x:c>
      <x:c r="G287" s="10" t="n">
        <x:v>2.2801368474551398e-22</x:v>
      </x:c>
      <x:c r="H287" s="10" t="n">
        <x:v>367.000824907135</x:v>
      </x:c>
      <x:c r="I287" s="15" t="b">
        <x:v>0</x:v>
      </x:c>
    </x:row>
    <x:row r="288">
      <x:c r="A288" s="10" t="str">
        <x:v>LOC126284002</x:v>
      </x:c>
      <x:c r="B288" s="10" t="str">
        <x:v>elongation of very long chain fatty acids protein 6</x:v>
      </x:c>
      <x:c r="C288" s="10" t="str">
        <x:v>protein_coding</x:v>
      </x:c>
      <x:c r="D288" s="10" t="str">
        <x:v>Lipid synthesis / metabolism</x:v>
      </x:c>
      <x:c r="E288" s="10" t="str">
        <x:v>infection_average_all_diets; infection_diet33; infection_diet50; infection_diet83</x:v>
      </x:c>
      <x:c r="F288" s="10" t="n">
        <x:v>2.50417778454563</x:v>
      </x:c>
      <x:c r="G288" s="10" t="n">
        <x:v>2.42317843215789e-9</x:v>
      </x:c>
      <x:c r="H288" s="10" t="n">
        <x:v>339.56340973823</x:v>
      </x:c>
      <x:c r="I288" s="15" t="b">
        <x:v>0</x:v>
      </x:c>
    </x:row>
    <x:row r="289">
      <x:c r="A289" s="10" t="str">
        <x:v>LOC126284038</x:v>
      </x:c>
      <x:c r="B289" s="10" t="str">
        <x:v>cholesterol transporter ABCA5-like</x:v>
      </x:c>
      <x:c r="C289" s="10" t="str">
        <x:v>protein_coding</x:v>
      </x:c>
      <x:c r="D289" s="10" t="str">
        <x:v>Lipid synthesis / metabolism</x:v>
      </x:c>
      <x:c r="E289" s="10" t="str">
        <x:v>infection_diet50</x:v>
      </x:c>
      <x:c r="F289" s="10" t="n">
        <x:v>1.19367564850501</x:v>
      </x:c>
      <x:c r="G289" s="10" t="n">
        <x:v>0.000044804428026516</x:v>
      </x:c>
      <x:c r="H289" s="10" t="n">
        <x:v>1272.53615964876</x:v>
      </x:c>
      <x:c r="I289" s="15" t="b">
        <x:v>0</x:v>
      </x:c>
    </x:row>
    <x:row r="290">
      <x:c r="A290" s="10" t="str">
        <x:v>LOC126284347</x:v>
      </x:c>
      <x:c r="B290" s="10" t="str">
        <x:v>fatty acyl-CoA reductase wat-like</x:v>
      </x:c>
      <x:c r="C290" s="10" t="str">
        <x:v>protein_coding</x:v>
      </x:c>
      <x:c r="D290" s="10" t="str">
        <x:v>Lipid synthesis / metabolism</x:v>
      </x:c>
      <x:c r="E290" s="10" t="str">
        <x:v>control_diet33_vs50; control_diet83_vs33</x:v>
      </x:c>
      <x:c r="F290" s="10" t="n">
        <x:v>2.6298105074237</x:v>
      </x:c>
      <x:c r="G290" s="10" t="n">
        <x:v>0.0022908175634128</x:v>
      </x:c>
      <x:c r="H290" s="10" t="n">
        <x:v>35.129791055777</x:v>
      </x:c>
      <x:c r="I290" s="15" t="b">
        <x:v>0</x:v>
      </x:c>
    </x:row>
    <x:row r="291">
      <x:c r="A291" s="10" t="str">
        <x:v>LOC126284582</x:v>
      </x:c>
      <x:c r="B291" s="10" t="str">
        <x:v>fatty acyl-CoA reductase wat-like</x:v>
      </x:c>
      <x:c r="C291" s="10" t="str">
        <x:v>protein_coding</x:v>
      </x:c>
      <x:c r="D291" s="10" t="str">
        <x:v>Lipid synthesis / metabolism</x:v>
      </x:c>
      <x:c r="E291" s="10" t="str">
        <x:v>infected_diet83_vs33; infection_diet50</x:v>
      </x:c>
      <x:c r="F291" s="10" t="n">
        <x:v>2.11998834983904</x:v>
      </x:c>
      <x:c r="G291" s="10" t="n">
        <x:v>0.0283763431626207</x:v>
      </x:c>
      <x:c r="H291" s="10" t="n">
        <x:v>53.6393731547161</x:v>
      </x:c>
      <x:c r="I291" s="15" t="b">
        <x:v>0</x:v>
      </x:c>
    </x:row>
    <x:row r="292">
      <x:c r="A292" s="10" t="str">
        <x:v>LOC126284651</x:v>
      </x:c>
      <x:c r="B292" s="10" t="str">
        <x:v>PI-PLC X domain-containing protein 1-like</x:v>
      </x:c>
      <x:c r="C292" s="10" t="str">
        <x:v>protein_coding</x:v>
      </x:c>
      <x:c r="D292" s="10" t="str">
        <x:v>Lipid synthesis / metabolism</x:v>
      </x:c>
      <x:c r="E292" s="10" t="str">
        <x:v>infected_diet33_vs50; infection_average_all_diets; infection_diet33; infection_diet50; infection_diet83</x:v>
      </x:c>
      <x:c r="F292" s="10" t="n">
        <x:v>4.0622663974913</x:v>
      </x:c>
      <x:c r="G292" s="10" t="n">
        <x:v>1.46901451538408e-16</x:v>
      </x:c>
      <x:c r="H292" s="10" t="n">
        <x:v>563.154178590644</x:v>
      </x:c>
      <x:c r="I292" s="15" t="b">
        <x:v>0</x:v>
      </x:c>
    </x:row>
    <x:row r="293">
      <x:c r="A293" s="10" t="str">
        <x:v>LOC126284686</x:v>
      </x:c>
      <x:c r="B293" s="10" t="str">
        <x:v>uncharacterized LOC126284686</x:v>
      </x:c>
      <x:c r="C293" s="10" t="str">
        <x:v>protein_coding</x:v>
      </x:c>
      <x:c r="D293" s="10" t="str">
        <x:v>Lipid synthesis / metabolism</x:v>
      </x:c>
      <x:c r="E293" s="10" t="str">
        <x:v>infection_average_all_diets; infection_diet33</x:v>
      </x:c>
      <x:c r="F293" s="10" t="n">
        <x:v>1.77519900971522</x:v>
      </x:c>
      <x:c r="G293" s="10" t="n">
        <x:v>0.0000576003306913929</x:v>
      </x:c>
      <x:c r="H293" s="10" t="n">
        <x:v>507.187248051403</x:v>
      </x:c>
      <x:c r="I293" s="15" t="b">
        <x:v>0</x:v>
      </x:c>
    </x:row>
    <x:row r="294">
      <x:c r="A294" s="10" t="str">
        <x:v>LOC126284721</x:v>
      </x:c>
      <x:c r="B294" s="10" t="str">
        <x:v>fatty acid-binding protein, muscle-like</x:v>
      </x:c>
      <x:c r="C294" s="10" t="str">
        <x:v>protein_coding</x:v>
      </x:c>
      <x:c r="D294" s="10" t="str">
        <x:v>Lipid synthesis / metabolism</x:v>
      </x:c>
      <x:c r="E294" s="10" t="str">
        <x:v>infection_average_all_diets</x:v>
      </x:c>
      <x:c r="F294" s="10" t="n">
        <x:v>1.19919347149158</x:v>
      </x:c>
      <x:c r="G294" s="10" t="n">
        <x:v>0.0105763190542678</x:v>
      </x:c>
      <x:c r="H294" s="10" t="n">
        <x:v>4.57399187011938</x:v>
      </x:c>
      <x:c r="I294" s="15" t="b">
        <x:v>0</x:v>
      </x:c>
    </x:row>
    <x:row r="295">
      <x:c r="A295" s="10" t="str">
        <x:v>LOC126284872</x:v>
      </x:c>
      <x:c r="B295" s="10" t="str">
        <x:v>fatty acid synthase-like</x:v>
      </x:c>
      <x:c r="C295" s="10" t="str">
        <x:v>protein_coding</x:v>
      </x:c>
      <x:c r="D295" s="10" t="str">
        <x:v>Lipid synthesis / metabolism</x:v>
      </x:c>
      <x:c r="E295" s="10" t="str">
        <x:v>infection_diet50</x:v>
      </x:c>
      <x:c r="F295" s="10" t="n">
        <x:v>2.47175617089276</x:v>
      </x:c>
      <x:c r="G295" s="10" t="n">
        <x:v>0.0196506822052968</x:v>
      </x:c>
      <x:c r="H295" s="10" t="n">
        <x:v>219.253081479693</x:v>
      </x:c>
      <x:c r="I295" s="15" t="b">
        <x:v>0</x:v>
      </x:c>
    </x:row>
    <x:row r="296">
      <x:c r="A296" s="10" t="str">
        <x:v>LOC126284874</x:v>
      </x:c>
      <x:c r="B296" s="10" t="str">
        <x:v>fatty acyl-CoA reductase wat-like</x:v>
      </x:c>
      <x:c r="C296" s="10" t="str">
        <x:v>protein_coding</x:v>
      </x:c>
      <x:c r="D296" s="10" t="str">
        <x:v>Lipid synthesis / metabolism</x:v>
      </x:c>
      <x:c r="E296" s="10" t="str">
        <x:v>control_diet33_vs50</x:v>
      </x:c>
      <x:c r="F296" s="10" t="n">
        <x:v>3.51603361676628</x:v>
      </x:c>
      <x:c r="G296" s="10" t="n">
        <x:v>0.0239474893984127</x:v>
      </x:c>
      <x:c r="H296" s="10" t="n">
        <x:v>45.796919034036</x:v>
      </x:c>
      <x:c r="I296" s="15" t="b">
        <x:v>0</x:v>
      </x:c>
    </x:row>
    <x:row r="297">
      <x:c r="A297" s="10" t="str">
        <x:v>LOC126284894</x:v>
      </x:c>
      <x:c r="B297" s="10" t="str">
        <x:v>fatty acyl-CoA reductase 1-like</x:v>
      </x:c>
      <x:c r="C297" s="10" t="str">
        <x:v>protein_coding</x:v>
      </x:c>
      <x:c r="D297" s="10" t="str">
        <x:v>Lipid synthesis / metabolism</x:v>
      </x:c>
      <x:c r="E297" s="10" t="str">
        <x:v>control_diet33_vs50; control_diet83_vs33</x:v>
      </x:c>
      <x:c r="F297" s="10" t="n">
        <x:v>4.11303604957621</x:v>
      </x:c>
      <x:c r="G297" s="10" t="n">
        <x:v>0.0296286470011418</x:v>
      </x:c>
      <x:c r="H297" s="10" t="n">
        <x:v>27.7059632898184</x:v>
      </x:c>
      <x:c r="I297" s="15" t="b">
        <x:v>1</x:v>
      </x:c>
    </x:row>
    <x:row r="298">
      <x:c r="A298" s="10" t="str">
        <x:v>LOC126284908</x:v>
      </x:c>
      <x:c r="B298" s="10" t="str">
        <x:v>phospholipase A2 inhibitor-like</x:v>
      </x:c>
      <x:c r="C298" s="10" t="str">
        <x:v>protein_coding</x:v>
      </x:c>
      <x:c r="D298" s="10" t="str">
        <x:v>Lipid synthesis / metabolism</x:v>
      </x:c>
      <x:c r="E298" s="10" t="str">
        <x:v>control_diet83_vs33; infection_diet33; infection_diet50</x:v>
      </x:c>
      <x:c r="F298" s="10" t="n">
        <x:v>1.46549493913614</x:v>
      </x:c>
      <x:c r="G298" s="10" t="n">
        <x:v>0.0050380163279518</x:v>
      </x:c>
      <x:c r="H298" s="10" t="n">
        <x:v>22.7618733774729</x:v>
      </x:c>
      <x:c r="I298" s="15" t="b">
        <x:v>0</x:v>
      </x:c>
    </x:row>
    <x:row r="299">
      <x:c r="A299" s="10" t="str">
        <x:v>LOC126285031</x:v>
      </x:c>
      <x:c r="B299" s="10" t="str">
        <x:v>fatty acyl-CoA reductase 1-like</x:v>
      </x:c>
      <x:c r="C299" s="10" t="str">
        <x:v>protein_coding</x:v>
      </x:c>
      <x:c r="D299" s="10" t="str">
        <x:v>Lipid synthesis / metabolism</x:v>
      </x:c>
      <x:c r="E299" s="10" t="str">
        <x:v>infected_diet83_vs33</x:v>
      </x:c>
      <x:c r="F299" s="10" t="n">
        <x:v>2.84041779358351</x:v>
      </x:c>
      <x:c r="G299" s="10" t="n">
        <x:v>0.0097212222383333</x:v>
      </x:c>
      <x:c r="H299" s="10" t="n">
        <x:v>29.9741172702109</x:v>
      </x:c>
      <x:c r="I299" s="15" t="b">
        <x:v>0</x:v>
      </x:c>
    </x:row>
    <x:row r="300">
      <x:c r="A300" s="10" t="str">
        <x:v>LOC126285050</x:v>
      </x:c>
      <x:c r="B300" s="10" t="str">
        <x:v>esterase FE4-like</x:v>
      </x:c>
      <x:c r="C300" s="10" t="str">
        <x:v>protein_coding</x:v>
      </x:c>
      <x:c r="D300" s="10" t="str">
        <x:v>Lipid synthesis / metabolism</x:v>
      </x:c>
      <x:c r="E300" s="10" t="str">
        <x:v>infection_diet50</x:v>
      </x:c>
      <x:c r="F300" s="10" t="n">
        <x:v>1.04417613036421</x:v>
      </x:c>
      <x:c r="G300" s="10" t="n">
        <x:v>0.0263295056635322</x:v>
      </x:c>
      <x:c r="H300" s="10" t="n">
        <x:v>31.8004913931407</x:v>
      </x:c>
      <x:c r="I300" s="15" t="b">
        <x:v>0</x:v>
      </x:c>
    </x:row>
    <x:row r="301">
      <x:c r="A301" s="10" t="str">
        <x:v>LOC126285116</x:v>
      </x:c>
      <x:c r="B301" s="10" t="str">
        <x:v>phospholipase A2 hemilipin-like</x:v>
      </x:c>
      <x:c r="C301" s="10" t="str">
        <x:v>protein_coding</x:v>
      </x:c>
      <x:c r="D301" s="10" t="str">
        <x:v>Lipid synthesis / metabolism</x:v>
      </x:c>
      <x:c r="E301" s="10" t="str">
        <x:v>infected_diet33_vs50; infection_diet50</x:v>
      </x:c>
      <x:c r="F301" s="10" t="n">
        <x:v>2.16886518946055</x:v>
      </x:c>
      <x:c r="G301" s="10" t="n">
        <x:v>0.0058859271876711</x:v>
      </x:c>
      <x:c r="H301" s="10" t="n">
        <x:v>82.7932932928982</x:v>
      </x:c>
      <x:c r="I301" s="15" t="b">
        <x:v>0</x:v>
      </x:c>
    </x:row>
    <x:row r="302">
      <x:c r="A302" s="10" t="str">
        <x:v>LOC126285286</x:v>
      </x:c>
      <x:c r="B302" s="10" t="str">
        <x:v>fatty acyl-CoA reductase 1-like</x:v>
      </x:c>
      <x:c r="C302" s="10" t="str">
        <x:v>protein_coding</x:v>
      </x:c>
      <x:c r="D302" s="10" t="str">
        <x:v>Lipid synthesis / metabolism</x:v>
      </x:c>
      <x:c r="E302" s="10" t="str">
        <x:v>infection_average_all_diets; infection_diet33</x:v>
      </x:c>
      <x:c r="F302" s="10" t="n">
        <x:v>2.36794523663418</x:v>
      </x:c>
      <x:c r="G302" s="10" t="n">
        <x:v>0.0125160670387131</x:v>
      </x:c>
      <x:c r="H302" s="10" t="n">
        <x:v>23.1024497778076</x:v>
      </x:c>
      <x:c r="I302" s="15" t="b">
        <x:v>0</x:v>
      </x:c>
    </x:row>
    <x:row r="303">
      <x:c r="A303" s="10" t="str">
        <x:v>LOC126285290</x:v>
      </x:c>
      <x:c r="B303" s="10" t="str">
        <x:v>fatty acyl-CoA reductase 1-like</x:v>
      </x:c>
      <x:c r="C303" s="10" t="str">
        <x:v>protein_coding</x:v>
      </x:c>
      <x:c r="D303" s="10" t="str">
        <x:v>Lipid synthesis / metabolism</x:v>
      </x:c>
      <x:c r="E303" s="10" t="str">
        <x:v>control_diet33_vs50</x:v>
      </x:c>
      <x:c r="F303" s="10" t="n">
        <x:v>3.69938303284437</x:v>
      </x:c>
      <x:c r="G303" s="10" t="n">
        <x:v>0.012887786984216</x:v>
      </x:c>
      <x:c r="H303" s="10" t="n">
        <x:v>45.3696463893609</x:v>
      </x:c>
      <x:c r="I303" s="15" t="b">
        <x:v>1</x:v>
      </x:c>
    </x:row>
    <x:row r="304">
      <x:c r="A304" s="10" t="str">
        <x:v>LOC126285378</x:v>
      </x:c>
      <x:c r="B304" s="10" t="str">
        <x:v>acetyl-CoA carboxylase</x:v>
      </x:c>
      <x:c r="C304" s="10" t="str">
        <x:v>protein_coding</x:v>
      </x:c>
      <x:c r="D304" s="10" t="str">
        <x:v>Lipid synthesis / metabolism</x:v>
      </x:c>
      <x:c r="E304" s="10" t="str">
        <x:v>infection_average_all_diets; infection_diet50; infection_diet83</x:v>
      </x:c>
      <x:c r="F304" s="10" t="n">
        <x:v>1.67051532195559</x:v>
      </x:c>
      <x:c r="G304" s="10" t="n">
        <x:v>1.1882689813421e-7</x:v>
      </x:c>
      <x:c r="H304" s="10" t="n">
        <x:v>3047.3328868582</x:v>
      </x:c>
      <x:c r="I304" s="15" t="b">
        <x:v>0</x:v>
      </x:c>
    </x:row>
    <x:row r="305">
      <x:c r="A305" s="10" t="str">
        <x:v>LOC126285457</x:v>
      </x:c>
      <x:c r="B305" s="10" t="str">
        <x:v>putative fatty acyl-CoA reductase CG5065</x:v>
      </x:c>
      <x:c r="C305" s="10" t="str">
        <x:v>protein_coding</x:v>
      </x:c>
      <x:c r="D305" s="10" t="str">
        <x:v>Lipid synthesis / metabolism</x:v>
      </x:c>
      <x:c r="E305" s="10" t="str">
        <x:v>infection_average_all_diets; infection_diet33; infection_diet50; infection_diet83</x:v>
      </x:c>
      <x:c r="F305" s="10" t="n">
        <x:v>3.10088461946891</x:v>
      </x:c>
      <x:c r="G305" s="10" t="n">
        <x:v>4.43697252573083e-32</x:v>
      </x:c>
      <x:c r="H305" s="10" t="n">
        <x:v>1879.55614189689</x:v>
      </x:c>
      <x:c r="I305" s="15" t="b">
        <x:v>0</x:v>
      </x:c>
    </x:row>
    <x:row r="306">
      <x:c r="A306" s="10" t="str">
        <x:v>LOC126285464</x:v>
      </x:c>
      <x:c r="B306" s="10" t="str">
        <x:v>putative fatty acyl-CoA reductase CG5065</x:v>
      </x:c>
      <x:c r="C306" s="10" t="str">
        <x:v>protein_coding</x:v>
      </x:c>
      <x:c r="D306" s="10" t="str">
        <x:v>Lipid synthesis / metabolism</x:v>
      </x:c>
      <x:c r="E306" s="10" t="str">
        <x:v>infection_diet50</x:v>
      </x:c>
      <x:c r="F306" s="10" t="n">
        <x:v>1.74017025882682</x:v>
      </x:c>
      <x:c r="G306" s="10" t="n">
        <x:v>0.0124289302451175</x:v>
      </x:c>
      <x:c r="H306" s="10" t="n">
        <x:v>58.2884983755517</x:v>
      </x:c>
      <x:c r="I306" s="15" t="b">
        <x:v>0</x:v>
      </x:c>
    </x:row>
    <x:row r="307">
      <x:c r="A307" s="10" t="str">
        <x:v>LOC126291637</x:v>
      </x:c>
      <x:c r="B307" s="10" t="str">
        <x:v>juvenile hormone esterase-like</x:v>
      </x:c>
      <x:c r="C307" s="10" t="str">
        <x:v>protein_coding</x:v>
      </x:c>
      <x:c r="D307" s="10" t="str">
        <x:v>Lipid synthesis / metabolism</x:v>
      </x:c>
      <x:c r="E307" s="10" t="str">
        <x:v>infection_diet50</x:v>
      </x:c>
      <x:c r="F307" s="10" t="n">
        <x:v>1.00913441099453</x:v>
      </x:c>
      <x:c r="G307" s="10" t="n">
        <x:v>0.0241185946977148</x:v>
      </x:c>
      <x:c r="H307" s="10" t="n">
        <x:v>113.260760412595</x:v>
      </x:c>
      <x:c r="I307" s="15" t="b">
        <x:v>0</x:v>
      </x:c>
    </x:row>
    <x:row r="308">
      <x:c r="A308" s="10" t="str">
        <x:v>LOC126291749</x:v>
      </x:c>
      <x:c r="B308" s="10" t="str">
        <x:v>MD-2-related lipid-recognition protein-like</x:v>
      </x:c>
      <x:c r="C308" s="10" t="str">
        <x:v>protein_coding</x:v>
      </x:c>
      <x:c r="D308" s="10" t="str">
        <x:v>Lipid synthesis / metabolism</x:v>
      </x:c>
      <x:c r="E308" s="10" t="str">
        <x:v>infection_diet50</x:v>
      </x:c>
      <x:c r="F308" s="10" t="n">
        <x:v>1.18055458738099</x:v>
      </x:c>
      <x:c r="G308" s="10" t="n">
        <x:v>0.0017337073665144</x:v>
      </x:c>
      <x:c r="H308" s="10" t="n">
        <x:v>2255.89524095918</x:v>
      </x:c>
      <x:c r="I308" s="15" t="b">
        <x:v>0</x:v>
      </x:c>
    </x:row>
    <x:row r="309">
      <x:c r="A309" s="10" t="str">
        <x:v>LOC126292205</x:v>
      </x:c>
      <x:c r="B309" s="10" t="str">
        <x:v>esterase FE4-like</x:v>
      </x:c>
      <x:c r="C309" s="10" t="str">
        <x:v>protein_coding</x:v>
      </x:c>
      <x:c r="D309" s="10" t="str">
        <x:v>Lipid synthesis / metabolism</x:v>
      </x:c>
      <x:c r="E309" s="10" t="str">
        <x:v>infection_diet83</x:v>
      </x:c>
      <x:c r="F309" s="10" t="n">
        <x:v>1.01082277636082</x:v>
      </x:c>
      <x:c r="G309" s="10" t="n">
        <x:v>0.0307949471307358</x:v>
      </x:c>
      <x:c r="H309" s="10" t="n">
        <x:v>91.1885974415881</x:v>
      </x:c>
      <x:c r="I309" s="15" t="b">
        <x:v>0</x:v>
      </x:c>
    </x:row>
    <x:row r="310">
      <x:c r="A310" s="10" t="str">
        <x:v>LOC126292206</x:v>
      </x:c>
      <x:c r="B310" s="10" t="str">
        <x:v>esterase FE4-like</x:v>
      </x:c>
      <x:c r="C310" s="10" t="str">
        <x:v>protein_coding</x:v>
      </x:c>
      <x:c r="D310" s="10" t="str">
        <x:v>Lipid synthesis / metabolism</x:v>
      </x:c>
      <x:c r="E310" s="10" t="str">
        <x:v>infection_average_all_diets; infection_diet33</x:v>
      </x:c>
      <x:c r="F310" s="10" t="n">
        <x:v>1.9800307154434</x:v>
      </x:c>
      <x:c r="G310" s="10" t="n">
        <x:v>0.0027253374520298</x:v>
      </x:c>
      <x:c r="H310" s="10" t="n">
        <x:v>120.871376176235</x:v>
      </x:c>
      <x:c r="I310" s="15" t="b">
        <x:v>0</x:v>
      </x:c>
    </x:row>
    <x:row r="311">
      <x:c r="A311" s="10" t="str">
        <x:v>LOC126293695</x:v>
      </x:c>
      <x:c r="B311" s="10" t="str">
        <x:v>acetylcholinesterase-like</x:v>
      </x:c>
      <x:c r="C311" s="10" t="str">
        <x:v>protein_coding</x:v>
      </x:c>
      <x:c r="D311" s="10" t="str">
        <x:v>Lipid synthesis / metabolism</x:v>
      </x:c>
      <x:c r="E311" s="10" t="str">
        <x:v>infection_diet50</x:v>
      </x:c>
      <x:c r="F311" s="10" t="n">
        <x:v>1.5322589234519</x:v>
      </x:c>
      <x:c r="G311" s="10" t="n">
        <x:v>0.028492225069211</x:v>
      </x:c>
      <x:c r="H311" s="10" t="n">
        <x:v>175.694596782694</x:v>
      </x:c>
      <x:c r="I311" s="15" t="b">
        <x:v>0</x:v>
      </x:c>
    </x:row>
    <x:row r="312">
      <x:c r="A312" s="10" t="str">
        <x:v>LOC126297421</x:v>
      </x:c>
      <x:c r="B312" s="10" t="str">
        <x:v>pancreatic triacylglycerol lipase-like</x:v>
      </x:c>
      <x:c r="C312" s="10" t="str">
        <x:v>protein_coding</x:v>
      </x:c>
      <x:c r="D312" s="10" t="str">
        <x:v>Lipid synthesis / metabolism</x:v>
      </x:c>
      <x:c r="E312" s="10" t="str">
        <x:v>infection_average_all_diets; infection_diet33; infection_diet50</x:v>
      </x:c>
      <x:c r="F312" s="10" t="n">
        <x:v>3.78787698356269</x:v>
      </x:c>
      <x:c r="G312" s="10" t="n">
        <x:v>5.14298232418974e-12</x:v>
      </x:c>
      <x:c r="H312" s="10" t="n">
        <x:v>1162.19528558344</x:v>
      </x:c>
      <x:c r="I312" s="15" t="b">
        <x:v>0</x:v>
      </x:c>
    </x:row>
    <x:row r="313">
      <x:c r="A313" s="10" t="str">
        <x:v>LOC126297497</x:v>
      </x:c>
      <x:c r="B313" s="10" t="str">
        <x:v>PI-PLC X domain-containing protein 1-like</x:v>
      </x:c>
      <x:c r="C313" s="10" t="str">
        <x:v>protein_coding</x:v>
      </x:c>
      <x:c r="D313" s="10" t="str">
        <x:v>Lipid synthesis / metabolism</x:v>
      </x:c>
      <x:c r="E313" s="10" t="str">
        <x:v>infected_diet33_vs50; infection_diet50</x:v>
      </x:c>
      <x:c r="F313" s="10" t="n">
        <x:v>4.39414854702664</x:v>
      </x:c>
      <x:c r="G313" s="10" t="n">
        <x:v>0.0001421997534132</x:v>
      </x:c>
      <x:c r="H313" s="10" t="n">
        <x:v>27.555095005221</x:v>
      </x:c>
      <x:c r="I313" s="15" t="b">
        <x:v>1</x:v>
      </x:c>
    </x:row>
    <x:row r="314">
      <x:c r="A314" s="10" t="str">
        <x:v>LOC126297752</x:v>
      </x:c>
      <x:c r="B314" s="10" t="str">
        <x:v>pancreatic triacylglycerol lipase-like</x:v>
      </x:c>
      <x:c r="C314" s="10" t="str">
        <x:v>protein_coding</x:v>
      </x:c>
      <x:c r="D314" s="10" t="str">
        <x:v>Lipid synthesis / metabolism</x:v>
      </x:c>
      <x:c r="E314" s="10" t="str">
        <x:v>infection_diet50</x:v>
      </x:c>
      <x:c r="F314" s="10" t="n">
        <x:v>1.13069748530114</x:v>
      </x:c>
      <x:c r="G314" s="10" t="n">
        <x:v>0.0092919006181106</x:v>
      </x:c>
      <x:c r="H314" s="10" t="n">
        <x:v>226.565153692209</x:v>
      </x:c>
      <x:c r="I314" s="15" t="b">
        <x:v>0</x:v>
      </x:c>
    </x:row>
    <x:row r="315">
      <x:c r="A315" s="10" t="str">
        <x:v>LOC126297832</x:v>
      </x:c>
      <x:c r="B315" s="10" t="str">
        <x:v>intermembrane lipid transfer protein VPS13A-like</x:v>
      </x:c>
      <x:c r="C315" s="10" t="str">
        <x:v>protein_coding</x:v>
      </x:c>
      <x:c r="D315" s="10" t="str">
        <x:v>Lipid synthesis / metabolism</x:v>
      </x:c>
      <x:c r="E315" s="10" t="str">
        <x:v>infected_diet33_vs50; infection_diet50</x:v>
      </x:c>
      <x:c r="F315" s="10" t="n">
        <x:v>3.18242298279369</x:v>
      </x:c>
      <x:c r="G315" s="10" t="n">
        <x:v>0.0005399961050449</x:v>
      </x:c>
      <x:c r="H315" s="10" t="n">
        <x:v>90.4039401047897</x:v>
      </x:c>
      <x:c r="I315" s="15" t="b">
        <x:v>0</x:v>
      </x:c>
    </x:row>
    <x:row r="316">
      <x:c r="A316" s="10" t="str">
        <x:v>LOC126297886</x:v>
      </x:c>
      <x:c r="B316" s="10" t="str">
        <x:v>uncharacterized LOC126297886</x:v>
      </x:c>
      <x:c r="C316" s="10" t="str">
        <x:v>protein_coding</x:v>
      </x:c>
      <x:c r="D316" s="10" t="str">
        <x:v>Lipid synthesis / metabolism</x:v>
      </x:c>
      <x:c r="E316" s="10" t="str">
        <x:v>infected_diet33_vs50; infection_diet50</x:v>
      </x:c>
      <x:c r="F316" s="10" t="n">
        <x:v>6.10060370994838</x:v>
      </x:c>
      <x:c r="G316" s="10" t="n">
        <x:v>0.00000275846069171129</x:v>
      </x:c>
      <x:c r="H316" s="10" t="n">
        <x:v>153.885854787959</x:v>
      </x:c>
      <x:c r="I316" s="15" t="b">
        <x:v>0</x:v>
      </x:c>
    </x:row>
    <x:row r="317">
      <x:c r="A317" s="10" t="str">
        <x:v>LOC126297976</x:v>
      </x:c>
      <x:c r="B317" s="10" t="str">
        <x:v>delta(24)-sterol reductase-like</x:v>
      </x:c>
      <x:c r="C317" s="10" t="str">
        <x:v>protein_coding</x:v>
      </x:c>
      <x:c r="D317" s="10" t="str">
        <x:v>Lipid synthesis / metabolism</x:v>
      </x:c>
      <x:c r="E317" s="10" t="str">
        <x:v>infection_average_all_diets; infection_diet33; infection_diet50</x:v>
      </x:c>
      <x:c r="F317" s="10" t="n">
        <x:v>1.42654294269263</x:v>
      </x:c>
      <x:c r="G317" s="10" t="n">
        <x:v>2.37908337727073e-7</x:v>
      </x:c>
      <x:c r="H317" s="10" t="n">
        <x:v>15.7463110563586</x:v>
      </x:c>
      <x:c r="I317" s="15" t="b">
        <x:v>0</x:v>
      </x:c>
    </x:row>
    <x:row r="318">
      <x:c r="A318" s="10" t="str">
        <x:v>LOC126298001</x:v>
      </x:c>
      <x:c r="B318" s="10" t="str">
        <x:v>elongation of very long chain fatty acids protein AAEL008004</x:v>
      </x:c>
      <x:c r="C318" s="10" t="str">
        <x:v>protein_coding</x:v>
      </x:c>
      <x:c r="D318" s="10" t="str">
        <x:v>Lipid synthesis / metabolism</x:v>
      </x:c>
      <x:c r="E318" s="10" t="str">
        <x:v>infection_average_all_diets; infection_diet50</x:v>
      </x:c>
      <x:c r="F318" s="10" t="n">
        <x:v>1.84465813524403</x:v>
      </x:c>
      <x:c r="G318" s="10" t="n">
        <x:v>0.0016819932886879</x:v>
      </x:c>
      <x:c r="H318" s="10" t="n">
        <x:v>176.345953958134</x:v>
      </x:c>
      <x:c r="I318" s="15" t="b">
        <x:v>0</x:v>
      </x:c>
    </x:row>
    <x:row r="319">
      <x:c r="A319" s="10" t="str">
        <x:v>LOC126298384</x:v>
      </x:c>
      <x:c r="B319" s="10" t="str">
        <x:v>inactive phospholipase C-like protein 1</x:v>
      </x:c>
      <x:c r="C319" s="10" t="str">
        <x:v>protein_coding</x:v>
      </x:c>
      <x:c r="D319" s="10" t="str">
        <x:v>Lipid synthesis / metabolism</x:v>
      </x:c>
      <x:c r="E319" s="10" t="str">
        <x:v>infection_diet50</x:v>
      </x:c>
      <x:c r="F319" s="10" t="n">
        <x:v>1.36173762860316</x:v>
      </x:c>
      <x:c r="G319" s="10" t="n">
        <x:v>0.0093415277103139</x:v>
      </x:c>
      <x:c r="H319" s="10" t="n">
        <x:v>102.609846295295</x:v>
      </x:c>
      <x:c r="I319" s="15" t="b">
        <x:v>0</x:v>
      </x:c>
    </x:row>
    <x:row r="320">
      <x:c r="A320" s="10" t="str">
        <x:v>LOC126298412</x:v>
      </x:c>
      <x:c r="B320" s="10" t="str">
        <x:v>uncharacterized LOC126298412</x:v>
      </x:c>
      <x:c r="C320" s="10" t="str">
        <x:v>protein_coding</x:v>
      </x:c>
      <x:c r="D320" s="10" t="str">
        <x:v>Lipid synthesis / metabolism</x:v>
      </x:c>
      <x:c r="E320" s="10" t="str">
        <x:v>infection_average_all_diets; infection_diet50</x:v>
      </x:c>
      <x:c r="F320" s="10" t="n">
        <x:v>1.8546292181333</x:v>
      </x:c>
      <x:c r="G320" s="10" t="n">
        <x:v>0.0003442040074305</x:v>
      </x:c>
      <x:c r="H320" s="10" t="n">
        <x:v>4829.27380723939</x:v>
      </x:c>
      <x:c r="I320" s="15" t="b">
        <x:v>0</x:v>
      </x:c>
    </x:row>
    <x:row r="321">
      <x:c r="A321" s="10" t="str">
        <x:v>LOC126298530</x:v>
      </x:c>
      <x:c r="B321" s="10" t="str">
        <x:v>elongation of very long chain fatty acids protein AAEL008004-like</x:v>
      </x:c>
      <x:c r="C321" s="10" t="str">
        <x:v>protein_coding</x:v>
      </x:c>
      <x:c r="D321" s="10" t="str">
        <x:v>Lipid synthesis / metabolism</x:v>
      </x:c>
      <x:c r="E321" s="10" t="str">
        <x:v>infection_diet50</x:v>
      </x:c>
      <x:c r="F321" s="10" t="n">
        <x:v>1.39366815928356</x:v>
      </x:c>
      <x:c r="G321" s="10" t="n">
        <x:v>0.033587782247091</x:v>
      </x:c>
      <x:c r="H321" s="10" t="n">
        <x:v>43.8272592441248</x:v>
      </x:c>
      <x:c r="I321" s="15" t="b">
        <x:v>0</x:v>
      </x:c>
    </x:row>
    <x:row r="322">
      <x:c r="A322" s="10" t="str">
        <x:v>LOC126298594</x:v>
      </x:c>
      <x:c r="B322" s="10" t="str">
        <x:v>phospholipase A2 inhibitor beta</x:v>
      </x:c>
      <x:c r="C322" s="10" t="str">
        <x:v>protein_coding</x:v>
      </x:c>
      <x:c r="D322" s="10" t="str">
        <x:v>Lipid synthesis / metabolism</x:v>
      </x:c>
      <x:c r="E322" s="10" t="str">
        <x:v>infection_diet50</x:v>
      </x:c>
      <x:c r="F322" s="10" t="n">
        <x:v>1.14954657763561</x:v>
      </x:c>
      <x:c r="G322" s="10" t="n">
        <x:v>0.0032970247929337</x:v>
      </x:c>
      <x:c r="H322" s="10" t="n">
        <x:v>448.318807763066</x:v>
      </x:c>
      <x:c r="I322" s="15" t="b">
        <x:v>0</x:v>
      </x:c>
    </x:row>
    <x:row r="323">
      <x:c r="A323" s="10" t="str">
        <x:v>LOC126298596</x:v>
      </x:c>
      <x:c r="B323" s="10" t="str">
        <x:v>uncharacterized LOC126298596</x:v>
      </x:c>
      <x:c r="C323" s="10" t="str">
        <x:v>protein_coding</x:v>
      </x:c>
      <x:c r="D323" s="10" t="str">
        <x:v>Lipid synthesis / metabolism</x:v>
      </x:c>
      <x:c r="E323" s="10" t="str">
        <x:v>infection_average_all_diets; infection_diet33; infection_diet50</x:v>
      </x:c>
      <x:c r="F323" s="10" t="n">
        <x:v>1.19121654669986</x:v>
      </x:c>
      <x:c r="G323" s="10" t="n">
        <x:v>0.00000158356869617124</x:v>
      </x:c>
      <x:c r="H323" s="10" t="n">
        <x:v>430.687094958046</x:v>
      </x:c>
      <x:c r="I323" s="15" t="b">
        <x:v>0</x:v>
      </x:c>
    </x:row>
    <x:row r="324">
      <x:c r="A324" s="10" t="str">
        <x:v>LOC126298804</x:v>
      </x:c>
      <x:c r="B324" s="10" t="str">
        <x:v>1-phosphatidylinositol 4,5-bisphosphate phosphodiesterase eta-2-like</x:v>
      </x:c>
      <x:c r="C324" s="10" t="str">
        <x:v>protein_coding</x:v>
      </x:c>
      <x:c r="D324" s="10" t="str">
        <x:v>Lipid synthesis / metabolism</x:v>
      </x:c>
      <x:c r="E324" s="10" t="str">
        <x:v>infection_average_all_diets; infection_diet33; infection_diet50; infection_diet83</x:v>
      </x:c>
      <x:c r="F324" s="10" t="n">
        <x:v>1.84385448900048</x:v>
      </x:c>
      <x:c r="G324" s="10" t="n">
        <x:v>4.0656497599340194e-11</x:v>
      </x:c>
      <x:c r="H324" s="10" t="n">
        <x:v>949.368959399155</x:v>
      </x:c>
      <x:c r="I324" s="15" t="b">
        <x:v>0</x:v>
      </x:c>
    </x:row>
    <x:row r="325">
      <x:c r="A325" s="10" t="str">
        <x:v>LOC126299186</x:v>
      </x:c>
      <x:c r="B325" s="10" t="str">
        <x:v>elongation of very long chain fatty acids protein AAEL008004</x:v>
      </x:c>
      <x:c r="C325" s="10" t="str">
        <x:v>protein_coding</x:v>
      </x:c>
      <x:c r="D325" s="10" t="str">
        <x:v>Lipid synthesis / metabolism</x:v>
      </x:c>
      <x:c r="E325" s="10" t="str">
        <x:v>infection_diet50</x:v>
      </x:c>
      <x:c r="F325" s="10" t="n">
        <x:v>1.82459270828667</x:v>
      </x:c>
      <x:c r="G325" s="10" t="n">
        <x:v>0.0406311945689203</x:v>
      </x:c>
      <x:c r="H325" s="10" t="n">
        <x:v>46.7861925648253</x:v>
      </x:c>
      <x:c r="I325" s="15" t="b">
        <x:v>0</x:v>
      </x:c>
    </x:row>
    <x:row r="326">
      <x:c r="A326" s="10" t="str">
        <x:v>LOC126299332</x:v>
      </x:c>
      <x:c r="B326" s="10" t="str">
        <x:v>uncharacterized LOC126299332</x:v>
      </x:c>
      <x:c r="C326" s="10" t="str">
        <x:v>protein_coding</x:v>
      </x:c>
      <x:c r="D326" s="10" t="str">
        <x:v>Lipid synthesis / metabolism</x:v>
      </x:c>
      <x:c r="E326" s="10" t="str">
        <x:v>infection_average_all_diets; infection_diet33; infection_diet50; infection_diet83</x:v>
      </x:c>
      <x:c r="F326" s="10" t="n">
        <x:v>1.67997593071539</x:v>
      </x:c>
      <x:c r="G326" s="10" t="n">
        <x:v>2.0705882904121797e-18</x:v>
      </x:c>
      <x:c r="H326" s="10" t="n">
        <x:v>29809.907520272</x:v>
      </x:c>
      <x:c r="I326" s="15" t="b">
        <x:v>0</x:v>
      </x:c>
    </x:row>
    <x:row r="327">
      <x:c r="A327" s="10" t="str">
        <x:v>LOC126299372</x:v>
      </x:c>
      <x:c r="B327" s="10" t="str">
        <x:v>PI-PLC X domain-containing protein 1-like</x:v>
      </x:c>
      <x:c r="C327" s="10" t="str">
        <x:v>protein_coding</x:v>
      </x:c>
      <x:c r="D327" s="10" t="str">
        <x:v>Lipid synthesis / metabolism</x:v>
      </x:c>
      <x:c r="E327" s="10" t="str">
        <x:v>infected_diet33_vs50; infection_diet50</x:v>
      </x:c>
      <x:c r="F327" s="10" t="n">
        <x:v>5.62216981377278</x:v>
      </x:c>
      <x:c r="G327" s="10" t="n">
        <x:v>0.0000780282109828725</x:v>
      </x:c>
      <x:c r="H327" s="10" t="n">
        <x:v>72.0444645424352</x:v>
      </x:c>
      <x:c r="I327" s="15" t="b">
        <x:v>1</x:v>
      </x:c>
    </x:row>
    <x:row r="328">
      <x:c r="A328" s="10" t="str">
        <x:v>LOC126299546</x:v>
      </x:c>
      <x:c r="B328" s="10" t="str">
        <x:v>elongation of very long chain fatty acids protein AAEL008004-like</x:v>
      </x:c>
      <x:c r="C328" s="10" t="str">
        <x:v>protein_coding</x:v>
      </x:c>
      <x:c r="D328" s="10" t="str">
        <x:v>Lipid synthesis / metabolism</x:v>
      </x:c>
      <x:c r="E328" s="10" t="str">
        <x:v>infection_average_all_diets; infection_diet33; infection_diet83</x:v>
      </x:c>
      <x:c r="F328" s="10" t="n">
        <x:v>1.51073986783315</x:v>
      </x:c>
      <x:c r="G328" s="10" t="n">
        <x:v>0.0006417294915496</x:v>
      </x:c>
      <x:c r="H328" s="10" t="n">
        <x:v>69.4564157279346</x:v>
      </x:c>
      <x:c r="I328" s="15" t="b">
        <x:v>0</x:v>
      </x:c>
    </x:row>
    <x:row r="329">
      <x:c r="A329" s="10" t="str">
        <x:v>LOC126320606</x:v>
      </x:c>
      <x:c r="B329" s="10" t="str">
        <x:v>esterase FE4-like</x:v>
      </x:c>
      <x:c r="C329" s="10" t="str">
        <x:v>protein_coding</x:v>
      </x:c>
      <x:c r="D329" s="10" t="str">
        <x:v>Lipid synthesis / metabolism</x:v>
      </x:c>
      <x:c r="E329" s="10" t="str">
        <x:v>infection_average_all_diets; infection_diet50</x:v>
      </x:c>
      <x:c r="F329" s="10" t="n">
        <x:v>4.3297552300357</x:v>
      </x:c>
      <x:c r="G329" s="10" t="n">
        <x:v>0.000201486976424</x:v>
      </x:c>
      <x:c r="H329" s="10" t="n">
        <x:v>2.25251303615715</x:v>
      </x:c>
      <x:c r="I329" s="15" t="b">
        <x:v>0</x:v>
      </x:c>
    </x:row>
    <x:row r="330">
      <x:c r="A330" s="10" t="str">
        <x:v>LOC126320713</x:v>
      </x:c>
      <x:c r="B330" s="10" t="str">
        <x:v>esterase FE4-like</x:v>
      </x:c>
      <x:c r="C330" s="10" t="str">
        <x:v>protein_coding</x:v>
      </x:c>
      <x:c r="D330" s="10" t="str">
        <x:v>Lipid synthesis / metabolism</x:v>
      </x:c>
      <x:c r="E330" s="10" t="str">
        <x:v>infection_diet50</x:v>
      </x:c>
      <x:c r="F330" s="10" t="n">
        <x:v>2.31139744426532</x:v>
      </x:c>
      <x:c r="G330" s="10" t="n">
        <x:v>0.0120979281282728</x:v>
      </x:c>
      <x:c r="H330" s="10" t="n">
        <x:v>15.2566729427648</x:v>
      </x:c>
      <x:c r="I330" s="15" t="b">
        <x:v>0</x:v>
      </x:c>
    </x:row>
    <x:row r="331">
      <x:c r="A331" s="10" t="str">
        <x:v>LOC126320847</x:v>
      </x:c>
      <x:c r="B331" s="10" t="str">
        <x:v>cholinesterase 1-like</x:v>
      </x:c>
      <x:c r="C331" s="10" t="str">
        <x:v>protein_coding</x:v>
      </x:c>
      <x:c r="D331" s="10" t="str">
        <x:v>Lipid synthesis / metabolism</x:v>
      </x:c>
      <x:c r="E331" s="10" t="str">
        <x:v>infection_diet83</x:v>
      </x:c>
      <x:c r="F331" s="10" t="n">
        <x:v>1.38242025157162</x:v>
      </x:c>
      <x:c r="G331" s="10" t="n">
        <x:v>0.0017618494765242</x:v>
      </x:c>
      <x:c r="H331" s="10" t="n">
        <x:v>9.39633231566969</x:v>
      </x:c>
      <x:c r="I331" s="15" t="b">
        <x:v>0</x:v>
      </x:c>
    </x:row>
    <x:row r="332">
      <x:c r="A332" s="10" t="str">
        <x:v>LOC126323656</x:v>
      </x:c>
      <x:c r="B332" s="10" t="str">
        <x:v>pancreatic triacylglycerol lipase-like</x:v>
      </x:c>
      <x:c r="C332" s="10" t="str">
        <x:v>protein_coding</x:v>
      </x:c>
      <x:c r="D332" s="10" t="str">
        <x:v>Lipid synthesis / metabolism</x:v>
      </x:c>
      <x:c r="E332" s="10" t="str">
        <x:v>infection_average_all_diets; infection_diet83</x:v>
      </x:c>
      <x:c r="F332" s="10" t="n">
        <x:v>2.15424199421488</x:v>
      </x:c>
      <x:c r="G332" s="10" t="n">
        <x:v>0.0000489785329616548</x:v>
      </x:c>
      <x:c r="H332" s="10" t="n">
        <x:v>95.6488141193368</x:v>
      </x:c>
      <x:c r="I332" s="15" t="b">
        <x:v>0</x:v>
      </x:c>
    </x:row>
    <x:row r="333">
      <x:c r="A333" s="10" t="str">
        <x:v>LOC126327137</x:v>
      </x:c>
      <x:c r="B333" s="10" t="str">
        <x:v>esterase FE4-like</x:v>
      </x:c>
      <x:c r="C333" s="10" t="str">
        <x:v>protein_coding</x:v>
      </x:c>
      <x:c r="D333" s="10" t="str">
        <x:v>Lipid synthesis / metabolism</x:v>
      </x:c>
      <x:c r="E333" s="10" t="str">
        <x:v>infection_average_all_diets</x:v>
      </x:c>
      <x:c r="F333" s="10" t="n">
        <x:v>1.11009738747658</x:v>
      </x:c>
      <x:c r="G333" s="10" t="n">
        <x:v>0.021438000942899</x:v>
      </x:c>
      <x:c r="H333" s="10" t="n">
        <x:v>5970.80518463646</x:v>
      </x:c>
      <x:c r="I333" s="15" t="b">
        <x:v>0</x:v>
      </x:c>
    </x:row>
    <x:row r="334">
      <x:c r="A334" s="10" t="str">
        <x:v>LOC126329703</x:v>
      </x:c>
      <x:c r="B334" s="10" t="str">
        <x:v>phospholipid-transporting ATPase IF-like</x:v>
      </x:c>
      <x:c r="C334" s="10" t="str">
        <x:v>protein_coding</x:v>
      </x:c>
      <x:c r="D334" s="10" t="str">
        <x:v>Lipid synthesis / metabolism</x:v>
      </x:c>
      <x:c r="E334" s="10" t="str">
        <x:v>infection_average_all_diets; infection_diet50</x:v>
      </x:c>
      <x:c r="F334" s="10" t="n">
        <x:v>1.42204486325404</x:v>
      </x:c>
      <x:c r="G334" s="10" t="n">
        <x:v>0.00000704620428326978</x:v>
      </x:c>
      <x:c r="H334" s="10" t="n">
        <x:v>534.840215854003</x:v>
      </x:c>
      <x:c r="I334" s="15" t="b">
        <x:v>0</x:v>
      </x:c>
    </x:row>
    <x:row r="335">
      <x:c r="A335" s="10" t="str">
        <x:v>LOC126332740</x:v>
      </x:c>
      <x:c r="B335" s="10" t="str">
        <x:v>juvenile hormone esterase-like</x:v>
      </x:c>
      <x:c r="C335" s="10" t="str">
        <x:v>protein_coding</x:v>
      </x:c>
      <x:c r="D335" s="10" t="str">
        <x:v>Lipid synthesis / metabolism</x:v>
      </x:c>
      <x:c r="E335" s="10" t="str">
        <x:v>infection_average_all_diets; infection_diet50; infection_diet83</x:v>
      </x:c>
      <x:c r="F335" s="10" t="n">
        <x:v>1.98458983289121</x:v>
      </x:c>
      <x:c r="G335" s="10" t="n">
        <x:v>0.0000106035674222791</x:v>
      </x:c>
      <x:c r="H335" s="10" t="n">
        <x:v>15.8101608728005</x:v>
      </x:c>
      <x:c r="I335" s="15" t="b">
        <x:v>0</x:v>
      </x:c>
    </x:row>
    <x:row r="336">
      <x:c r="A336" s="10" t="str">
        <x:v>LOC126332793</x:v>
      </x:c>
      <x:c r="B336" s="10" t="str">
        <x:v>juvenile hormone esterase-like</x:v>
      </x:c>
      <x:c r="C336" s="10" t="str">
        <x:v>protein_coding</x:v>
      </x:c>
      <x:c r="D336" s="10" t="str">
        <x:v>Lipid synthesis / metabolism</x:v>
      </x:c>
      <x:c r="E336" s="10" t="str">
        <x:v>infection_average_all_diets; infection_diet50; infection_diet83</x:v>
      </x:c>
      <x:c r="F336" s="10" t="n">
        <x:v>1.59599374767439</x:v>
      </x:c>
      <x:c r="G336" s="10" t="n">
        <x:v>4.37472940676475e-12</x:v>
      </x:c>
      <x:c r="H336" s="10" t="n">
        <x:v>96.6293312091825</x:v>
      </x:c>
      <x:c r="I336" s="15" t="b">
        <x:v>0</x:v>
      </x:c>
    </x:row>
    <x:row r="337">
      <x:c r="A337" s="10" t="str">
        <x:v>LOC126332816</x:v>
      </x:c>
      <x:c r="B337" s="10" t="str">
        <x:v>juvenile hormone esterase-like</x:v>
      </x:c>
      <x:c r="C337" s="10" t="str">
        <x:v>protein_coding</x:v>
      </x:c>
      <x:c r="D337" s="10" t="str">
        <x:v>Lipid synthesis / metabolism</x:v>
      </x:c>
      <x:c r="E337" s="10" t="str">
        <x:v>infection_diet50</x:v>
      </x:c>
      <x:c r="F337" s="10" t="n">
        <x:v>1.01210033130772</x:v>
      </x:c>
      <x:c r="G337" s="10" t="n">
        <x:v>0.0268288607656769</x:v>
      </x:c>
      <x:c r="H337" s="10" t="n">
        <x:v>38.4576228273236</x:v>
      </x:c>
      <x:c r="I337" s="15" t="b">
        <x:v>0</x:v>
      </x:c>
    </x:row>
    <x:row r="338">
      <x:c r="A338" s="10" t="str">
        <x:v>LOC126332857</x:v>
      </x:c>
      <x:c r="B338" s="10" t="str">
        <x:v>esterase E4-like</x:v>
      </x:c>
      <x:c r="C338" s="10" t="str">
        <x:v>protein_coding</x:v>
      </x:c>
      <x:c r="D338" s="10" t="str">
        <x:v>Lipid synthesis / metabolism</x:v>
      </x:c>
      <x:c r="E338" s="10" t="str">
        <x:v>infection_diet83</x:v>
      </x:c>
      <x:c r="F338" s="10" t="n">
        <x:v>1.00743277048053</x:v>
      </x:c>
      <x:c r="G338" s="10" t="n">
        <x:v>0.009952068444048</x:v>
      </x:c>
      <x:c r="H338" s="10" t="n">
        <x:v>374.126920213945</x:v>
      </x:c>
      <x:c r="I338" s="15" t="b">
        <x:v>0</x:v>
      </x:c>
    </x:row>
    <x:row r="339">
      <x:c r="A339" s="10" t="str">
        <x:v>LOC126334672</x:v>
      </x:c>
      <x:c r="B339" s="10" t="str">
        <x:v>juvenile hormone esterase-like</x:v>
      </x:c>
      <x:c r="C339" s="10" t="str">
        <x:v>protein_coding</x:v>
      </x:c>
      <x:c r="D339" s="10" t="str">
        <x:v>Lipid synthesis / metabolism</x:v>
      </x:c>
      <x:c r="E339" s="10" t="str">
        <x:v>infection_average_all_diets; infection_diet33</x:v>
      </x:c>
      <x:c r="F339" s="10" t="n">
        <x:v>1.5713800991745</x:v>
      </x:c>
      <x:c r="G339" s="10" t="n">
        <x:v>0.0004299625810609</x:v>
      </x:c>
      <x:c r="H339" s="10" t="n">
        <x:v>6.67110033430259</x:v>
      </x:c>
      <x:c r="I339" s="15" t="b">
        <x:v>0</x:v>
      </x:c>
    </x:row>
    <x:row r="340">
      <x:c r="A340" s="10" t="str">
        <x:v>LOC126334679</x:v>
      </x:c>
      <x:c r="B340" s="10" t="str">
        <x:v>esterase FE4-like</x:v>
      </x:c>
      <x:c r="C340" s="10" t="str">
        <x:v>protein_coding</x:v>
      </x:c>
      <x:c r="D340" s="10" t="str">
        <x:v>Lipid synthesis / metabolism</x:v>
      </x:c>
      <x:c r="E340" s="10" t="str">
        <x:v>infection_average_all_diets</x:v>
      </x:c>
      <x:c r="F340" s="10" t="n">
        <x:v>1.13053465963923</x:v>
      </x:c>
      <x:c r="G340" s="10" t="n">
        <x:v>0.0116751410490084</x:v>
      </x:c>
      <x:c r="H340" s="10" t="n">
        <x:v>483.413658932028</x:v>
      </x:c>
      <x:c r="I340" s="15" t="b">
        <x:v>0</x:v>
      </x:c>
    </x:row>
    <x:row r="341">
      <x:c r="A341" s="10" t="str">
        <x:v>LOC126334681</x:v>
      </x:c>
      <x:c r="B341" s="10" t="str">
        <x:v>esterase E4-like</x:v>
      </x:c>
      <x:c r="C341" s="10" t="str">
        <x:v>protein_coding</x:v>
      </x:c>
      <x:c r="D341" s="10" t="str">
        <x:v>Lipid synthesis / metabolism</x:v>
      </x:c>
      <x:c r="E341" s="10" t="str">
        <x:v>infection_average_all_diets</x:v>
      </x:c>
      <x:c r="F341" s="10" t="n">
        <x:v>1.07874429585321</x:v>
      </x:c>
      <x:c r="G341" s="10" t="n">
        <x:v>0.0036596982478513</x:v>
      </x:c>
      <x:c r="H341" s="10" t="n">
        <x:v>142.329749074504</x:v>
      </x:c>
      <x:c r="I341" s="15" t="b">
        <x:v>0</x:v>
      </x:c>
    </x:row>
    <x:row r="342">
      <x:c r="A342" s="10" t="str">
        <x:v>LOC126335083</x:v>
      </x:c>
      <x:c r="B342" s="10" t="str">
        <x:v>juvenile hormone esterase-like</x:v>
      </x:c>
      <x:c r="C342" s="10" t="str">
        <x:v>protein_coding</x:v>
      </x:c>
      <x:c r="D342" s="10" t="str">
        <x:v>Lipid synthesis / metabolism</x:v>
      </x:c>
      <x:c r="E342" s="10" t="str">
        <x:v>infection_average_all_diets; infection_diet33; infection_diet50; infection_diet83</x:v>
      </x:c>
      <x:c r="F342" s="10" t="n">
        <x:v>3.7607940007262</x:v>
      </x:c>
      <x:c r="G342" s="10" t="n">
        <x:v>4.59711305017399e-17</x:v>
      </x:c>
      <x:c r="H342" s="10" t="n">
        <x:v>1479.97731559052</x:v>
      </x:c>
      <x:c r="I342" s="15" t="b">
        <x:v>0</x:v>
      </x:c>
    </x:row>
    <x:row r="343">
      <x:c r="A343" s="10" t="str">
        <x:v>LOC126335084</x:v>
      </x:c>
      <x:c r="B343" s="10" t="str">
        <x:v>esterase E4-like</x:v>
      </x:c>
      <x:c r="C343" s="10" t="str">
        <x:v>protein_coding</x:v>
      </x:c>
      <x:c r="D343" s="10" t="str">
        <x:v>Lipid synthesis / metabolism</x:v>
      </x:c>
      <x:c r="E343" s="10" t="str">
        <x:v>infection_average_all_diets; infection_diet33; infection_diet50; infection_diet83</x:v>
      </x:c>
      <x:c r="F343" s="10" t="n">
        <x:v>2.84020392876897</x:v>
      </x:c>
      <x:c r="G343" s="10" t="n">
        <x:v>7.605853824373491e-15</x:v>
      </x:c>
      <x:c r="H343" s="10" t="n">
        <x:v>215.193783463898</x:v>
      </x:c>
      <x:c r="I343" s="15" t="b">
        <x:v>0</x:v>
      </x:c>
    </x:row>
    <x:row r="344">
      <x:c r="A344" s="10" t="str">
        <x:v>LOC126335114</x:v>
      </x:c>
      <x:c r="B344" s="10" t="str">
        <x:v>esterase E4-like</x:v>
      </x:c>
      <x:c r="C344" s="10" t="str">
        <x:v>protein_coding</x:v>
      </x:c>
      <x:c r="D344" s="10" t="str">
        <x:v>Lipid synthesis / metabolism</x:v>
      </x:c>
      <x:c r="E344" s="10" t="str">
        <x:v>infection_average_all_diets; infection_diet33; infection_diet50; infection_diet83</x:v>
      </x:c>
      <x:c r="F344" s="10" t="n">
        <x:v>4.21889780587881</x:v>
      </x:c>
      <x:c r="G344" s="10" t="n">
        <x:v>1.68325900184551e-25</x:v>
      </x:c>
      <x:c r="H344" s="10" t="n">
        <x:v>7177.985615401</x:v>
      </x:c>
      <x:c r="I344" s="15" t="b">
        <x:v>0</x:v>
      </x:c>
    </x:row>
    <x:row r="345">
      <x:c r="A345" s="10" t="str">
        <x:v>LOC126335115</x:v>
      </x:c>
      <x:c r="B345" s="10" t="str">
        <x:v>esterase E4-like</x:v>
      </x:c>
      <x:c r="C345" s="10" t="str">
        <x:v>protein_coding</x:v>
      </x:c>
      <x:c r="D345" s="10" t="str">
        <x:v>Lipid synthesis / metabolism</x:v>
      </x:c>
      <x:c r="E345" s="10" t="str">
        <x:v>infection_average_all_diets; infection_diet33; infection_diet50; infection_diet83</x:v>
      </x:c>
      <x:c r="F345" s="10" t="n">
        <x:v>6.10000972413095</x:v>
      </x:c>
      <x:c r="G345" s="10" t="n">
        <x:v>2.8663172746873697e-28</x:v>
      </x:c>
      <x:c r="H345" s="10" t="n">
        <x:v>1496.9666085791</x:v>
      </x:c>
      <x:c r="I345" s="15" t="b">
        <x:v>1</x:v>
      </x:c>
    </x:row>
    <x:row r="346">
      <x:c r="A346" s="10" t="str">
        <x:v>LOC126335117</x:v>
      </x:c>
      <x:c r="B346" s="10" t="str">
        <x:v>esterase E4-like</x:v>
      </x:c>
      <x:c r="C346" s="10" t="str">
        <x:v>protein_coding</x:v>
      </x:c>
      <x:c r="D346" s="10" t="str">
        <x:v>Lipid synthesis / metabolism</x:v>
      </x:c>
      <x:c r="E346" s="10" t="str">
        <x:v>infection_average_all_diets; infection_diet33; infection_diet50; infection_diet83</x:v>
      </x:c>
      <x:c r="F346" s="10" t="n">
        <x:v>2.55355068434413</x:v>
      </x:c>
      <x:c r="G346" s="10" t="n">
        <x:v>6.304178452678489e-12</x:v>
      </x:c>
      <x:c r="H346" s="10" t="n">
        <x:v>17712.152236869</x:v>
      </x:c>
      <x:c r="I346" s="15" t="b">
        <x:v>0</x:v>
      </x:c>
    </x:row>
    <x:row r="347">
      <x:c r="A347" s="10" t="str">
        <x:v>LOC126335136</x:v>
      </x:c>
      <x:c r="B347" s="10" t="str">
        <x:v>esterase E4-like</x:v>
      </x:c>
      <x:c r="C347" s="10" t="str">
        <x:v>protein_coding</x:v>
      </x:c>
      <x:c r="D347" s="10" t="str">
        <x:v>Lipid synthesis / metabolism</x:v>
      </x:c>
      <x:c r="E347" s="10" t="str">
        <x:v>infection_average_all_diets; infection_diet50</x:v>
      </x:c>
      <x:c r="F347" s="10" t="n">
        <x:v>2.04578191795912</x:v>
      </x:c>
      <x:c r="G347" s="10" t="n">
        <x:v>0.0024671807760448</x:v>
      </x:c>
      <x:c r="H347" s="10" t="n">
        <x:v>801.272483993778</x:v>
      </x:c>
      <x:c r="I347" s="15" t="b">
        <x:v>0</x:v>
      </x:c>
    </x:row>
    <x:row r="348">
      <x:c r="A348" s="10" t="str">
        <x:v>LOC126335140</x:v>
      </x:c>
      <x:c r="B348" s="10" t="str">
        <x:v>esterase E4-like</x:v>
      </x:c>
      <x:c r="C348" s="10" t="str">
        <x:v>protein_coding</x:v>
      </x:c>
      <x:c r="D348" s="10" t="str">
        <x:v>Lipid synthesis / metabolism</x:v>
      </x:c>
      <x:c r="E348" s="10" t="str">
        <x:v>infection_average_all_diets; infection_diet33; infection_diet50; infection_diet83</x:v>
      </x:c>
      <x:c r="F348" s="10" t="n">
        <x:v>3.19780371338271</x:v>
      </x:c>
      <x:c r="G348" s="10" t="n">
        <x:v>5.331047792972e-16</x:v>
      </x:c>
      <x:c r="H348" s="10" t="n">
        <x:v>331.703722644563</x:v>
      </x:c>
      <x:c r="I348" s="15" t="b">
        <x:v>0</x:v>
      </x:c>
    </x:row>
    <x:row r="349">
      <x:c r="A349" s="10" t="str">
        <x:v>LOC126335154</x:v>
      </x:c>
      <x:c r="B349" s="10" t="str">
        <x:v>sterol O-acyltransferase 2</x:v>
      </x:c>
      <x:c r="C349" s="10" t="str">
        <x:v>protein_coding</x:v>
      </x:c>
      <x:c r="D349" s="10" t="str">
        <x:v>Lipid synthesis / metabolism</x:v>
      </x:c>
      <x:c r="E349" s="10" t="str">
        <x:v>infection_average_all_diets; infection_diet50</x:v>
      </x:c>
      <x:c r="F349" s="10" t="n">
        <x:v>1.80345057984267</x:v>
      </x:c>
      <x:c r="G349" s="10" t="n">
        <x:v>0.00000167423038376442</x:v>
      </x:c>
      <x:c r="H349" s="10" t="n">
        <x:v>801.37567331923</x:v>
      </x:c>
      <x:c r="I349" s="15" t="b">
        <x:v>0</x:v>
      </x:c>
    </x:row>
    <x:row r="350">
      <x:c r="A350" s="10" t="str">
        <x:v>LOC126335155</x:v>
      </x:c>
      <x:c r="B350" s="10" t="str">
        <x:v>sterol O-acyltransferase 2-like</x:v>
      </x:c>
      <x:c r="C350" s="10" t="str">
        <x:v>protein_coding</x:v>
      </x:c>
      <x:c r="D350" s="10" t="str">
        <x:v>Lipid synthesis / metabolism</x:v>
      </x:c>
      <x:c r="E350" s="10" t="str">
        <x:v>infection_diet33</x:v>
      </x:c>
      <x:c r="F350" s="10" t="n">
        <x:v>2.49899882582992</x:v>
      </x:c>
      <x:c r="G350" s="10" t="n">
        <x:v>0.0087597450793795</x:v>
      </x:c>
      <x:c r="H350" s="10" t="n">
        <x:v>21.2408179004894</x:v>
      </x:c>
      <x:c r="I350" s="15" t="b">
        <x:v>0</x:v>
      </x:c>
    </x:row>
    <x:row r="351">
      <x:c r="A351" s="10" t="str">
        <x:v>LOC126335171</x:v>
      </x:c>
      <x:c r="B351" s="10" t="str">
        <x:v>very-long-chain (3R)-3-hydroxyacyl-CoA dehydratase 2</x:v>
      </x:c>
      <x:c r="C351" s="10" t="str">
        <x:v>protein_coding</x:v>
      </x:c>
      <x:c r="D351" s="10" t="str">
        <x:v>Lipid synthesis / metabolism</x:v>
      </x:c>
      <x:c r="E351" s="10" t="str">
        <x:v>infection_diet50</x:v>
      </x:c>
      <x:c r="F351" s="10" t="n">
        <x:v>1.38665697422128</x:v>
      </x:c>
      <x:c r="G351" s="10" t="n">
        <x:v>0.0033915292267506</x:v>
      </x:c>
      <x:c r="H351" s="10" t="n">
        <x:v>367.925635972513</x:v>
      </x:c>
      <x:c r="I351" s="15" t="b">
        <x:v>0</x:v>
      </x:c>
    </x:row>
    <x:row r="352">
      <x:c r="A352" s="10" t="str">
        <x:v>LOC126335187</x:v>
      </x:c>
      <x:c r="B352" s="10" t="str">
        <x:v>esterase E4-like</x:v>
      </x:c>
      <x:c r="C352" s="10" t="str">
        <x:v>protein_coding</x:v>
      </x:c>
      <x:c r="D352" s="10" t="str">
        <x:v>Lipid synthesis / metabolism</x:v>
      </x:c>
      <x:c r="E352" s="10" t="str">
        <x:v>infection_average_all_diets; infection_diet50; infection_diet83</x:v>
      </x:c>
      <x:c r="F352" s="10" t="n">
        <x:v>3.48089785473451</x:v>
      </x:c>
      <x:c r="G352" s="10" t="n">
        <x:v>9.39416789055654e-10</x:v>
      </x:c>
      <x:c r="H352" s="10" t="n">
        <x:v>840.214821736088</x:v>
      </x:c>
      <x:c r="I352" s="15" t="b">
        <x:v>0</x:v>
      </x:c>
    </x:row>
    <x:row r="353">
      <x:c r="A353" s="10" t="str">
        <x:v>LOC126335309</x:v>
      </x:c>
      <x:c r="B353" s="10" t="str">
        <x:v>acyl-CoA Delta-9 desaturase-like</x:v>
      </x:c>
      <x:c r="C353" s="10" t="str">
        <x:v>protein_coding</x:v>
      </x:c>
      <x:c r="D353" s="10" t="str">
        <x:v>Lipid synthesis / metabolism</x:v>
      </x:c>
      <x:c r="E353" s="10" t="str">
        <x:v>infection_average_all_diets; infection_diet33; infection_diet50; infection_diet83</x:v>
      </x:c>
      <x:c r="F353" s="10" t="n">
        <x:v>3.30037306829934</x:v>
      </x:c>
      <x:c r="G353" s="10" t="n">
        <x:v>9.28243153652609e-12</x:v>
      </x:c>
      <x:c r="H353" s="10" t="n">
        <x:v>4987.73142317891</x:v>
      </x:c>
      <x:c r="I353" s="15" t="b">
        <x:v>0</x:v>
      </x:c>
    </x:row>
    <x:row r="354">
      <x:c r="A354" s="10" t="str">
        <x:v>LOC126335373</x:v>
      </x:c>
      <x:c r="B354" s="10" t="str">
        <x:v>phospholipid transfer protein C2CD2L</x:v>
      </x:c>
      <x:c r="C354" s="10" t="str">
        <x:v>protein_coding</x:v>
      </x:c>
      <x:c r="D354" s="10" t="str">
        <x:v>Lipid synthesis / metabolism</x:v>
      </x:c>
      <x:c r="E354" s="10" t="str">
        <x:v>infection_diet50</x:v>
      </x:c>
      <x:c r="F354" s="10" t="n">
        <x:v>1.19405527282491</x:v>
      </x:c>
      <x:c r="G354" s="10" t="n">
        <x:v>0.0464234573536926</x:v>
      </x:c>
      <x:c r="H354" s="10" t="n">
        <x:v>2928.8133918413</x:v>
      </x:c>
      <x:c r="I354" s="15" t="b">
        <x:v>0</x:v>
      </x:c>
    </x:row>
    <x:row r="355">
      <x:c r="A355" s="10" t="str">
        <x:v>LOC126336286</x:v>
      </x:c>
      <x:c r="B355" s="10" t="str">
        <x:v>fatty acyl-CoA reductase wat-like</x:v>
      </x:c>
      <x:c r="C355" s="10" t="str">
        <x:v>protein_coding</x:v>
      </x:c>
      <x:c r="D355" s="10" t="str">
        <x:v>Lipid synthesis / metabolism</x:v>
      </x:c>
      <x:c r="E355" s="10" t="str">
        <x:v>control_diet33_vs50; control_diet83_vs33; infection_diet33</x:v>
      </x:c>
      <x:c r="F355" s="10" t="n">
        <x:v>4.77022165662607</x:v>
      </x:c>
      <x:c r="G355" s="10" t="n">
        <x:v>0.000017601967269309</x:v>
      </x:c>
      <x:c r="H355" s="10" t="n">
        <x:v>18.762184012203</x:v>
      </x:c>
      <x:c r="I355" s="15" t="b">
        <x:v>1</x:v>
      </x:c>
    </x:row>
    <x:row r="356">
      <x:c r="A356" s="10" t="str">
        <x:v>LOC126336514</x:v>
      </x:c>
      <x:c r="B356" s="10" t="str">
        <x:v>sterol O-acyltransferase 1-like</x:v>
      </x:c>
      <x:c r="C356" s="10" t="str">
        <x:v>protein_coding</x:v>
      </x:c>
      <x:c r="D356" s="10" t="str">
        <x:v>Lipid synthesis / metabolism</x:v>
      </x:c>
      <x:c r="E356" s="10" t="str">
        <x:v>infection_average_all_diets; infection_diet83</x:v>
      </x:c>
      <x:c r="F356" s="10" t="n">
        <x:v>2.23204747740764</x:v>
      </x:c>
      <x:c r="G356" s="10" t="n">
        <x:v>0.0000982254596671896</x:v>
      </x:c>
      <x:c r="H356" s="10" t="n">
        <x:v>14.91701216327</x:v>
      </x:c>
      <x:c r="I356" s="15" t="b">
        <x:v>0</x:v>
      </x:c>
    </x:row>
    <x:row r="357">
      <x:c r="A357" s="10" t="str">
        <x:v>LOC126336773</x:v>
      </x:c>
      <x:c r="B357" s="10" t="str">
        <x:v>uncharacterized LOC126336773</x:v>
      </x:c>
      <x:c r="C357" s="10" t="str">
        <x:v>protein_coding</x:v>
      </x:c>
      <x:c r="D357" s="10" t="str">
        <x:v>Lipid synthesis / metabolism</x:v>
      </x:c>
      <x:c r="E357" s="10" t="str">
        <x:v>infection_diet50</x:v>
      </x:c>
      <x:c r="F357" s="10" t="n">
        <x:v>1.04799091083022</x:v>
      </x:c>
      <x:c r="G357" s="10" t="n">
        <x:v>0.0087639785469166</x:v>
      </x:c>
      <x:c r="H357" s="10" t="n">
        <x:v>2266.87479163167</x:v>
      </x:c>
      <x:c r="I357" s="15" t="b">
        <x:v>0</x:v>
      </x:c>
    </x:row>
    <x:row r="358">
      <x:c r="A358" s="10" t="str">
        <x:v>LOC126336932</x:v>
      </x:c>
      <x:c r="B358" s="10" t="str">
        <x:v>lysophospholipid acyltransferase 6</x:v>
      </x:c>
      <x:c r="C358" s="10" t="str">
        <x:v>protein_coding</x:v>
      </x:c>
      <x:c r="D358" s="10" t="str">
        <x:v>Lipid synthesis / metabolism</x:v>
      </x:c>
      <x:c r="E358" s="10" t="str">
        <x:v>infection_diet33</x:v>
      </x:c>
      <x:c r="F358" s="10" t="n">
        <x:v>1.19806945503849</x:v>
      </x:c>
      <x:c r="G358" s="10" t="n">
        <x:v>0.0450723477175857</x:v>
      </x:c>
      <x:c r="H358" s="10" t="n">
        <x:v>304.130262039559</x:v>
      </x:c>
      <x:c r="I358" s="15" t="b">
        <x:v>0</x:v>
      </x:c>
    </x:row>
    <x:row r="359">
      <x:c r="A359" s="10" t="str">
        <x:v>LOC126337753</x:v>
      </x:c>
      <x:c r="B359" s="10" t="str">
        <x:v>NPC intracellular cholesterol transporter 2 homolog a</x:v>
      </x:c>
      <x:c r="C359" s="10" t="str">
        <x:v>protein_coding</x:v>
      </x:c>
      <x:c r="D359" s="10" t="str">
        <x:v>Lipid synthesis / metabolism</x:v>
      </x:c>
      <x:c r="E359" s="10" t="str">
        <x:v>infection_diet33</x:v>
      </x:c>
      <x:c r="F359" s="10" t="n">
        <x:v>1.44140002299363</x:v>
      </x:c>
      <x:c r="G359" s="10" t="n">
        <x:v>0.0124767451682733</x:v>
      </x:c>
      <x:c r="H359" s="10" t="n">
        <x:v>102.627533165609</x:v>
      </x:c>
      <x:c r="I359" s="15" t="b">
        <x:v>0</x:v>
      </x:c>
    </x:row>
    <x:row r="360">
      <x:c r="A360" s="10" t="str">
        <x:v>LOC126342556</x:v>
      </x:c>
      <x:c r="B360" s="10" t="str">
        <x:v>diacylglycerol lipase-beta-like</x:v>
      </x:c>
      <x:c r="C360" s="10" t="str">
        <x:v>protein_coding</x:v>
      </x:c>
      <x:c r="D360" s="10" t="str">
        <x:v>Lipid synthesis / metabolism</x:v>
      </x:c>
      <x:c r="E360" s="10" t="str">
        <x:v>infection_average_all_diets; infection_diet33; infection_diet83</x:v>
      </x:c>
      <x:c r="F360" s="10" t="n">
        <x:v>1.71589107412955</x:v>
      </x:c>
      <x:c r="G360" s="10" t="n">
        <x:v>0.00000843584272250138</x:v>
      </x:c>
      <x:c r="H360" s="10" t="n">
        <x:v>2935.31131242747</x:v>
      </x:c>
      <x:c r="I360" s="15" t="b">
        <x:v>0</x:v>
      </x:c>
    </x:row>
    <x:row r="361">
      <x:c r="A361" s="10" t="str">
        <x:v>LOC126345263</x:v>
      </x:c>
      <x:c r="B361" s="10" t="str">
        <x:v>peroxisomal acyl-coenzyme A oxidase 3</x:v>
      </x:c>
      <x:c r="C361" s="10" t="str">
        <x:v>protein_coding</x:v>
      </x:c>
      <x:c r="D361" s="10" t="str">
        <x:v>Lipid synthesis / metabolism</x:v>
      </x:c>
      <x:c r="E361" s="10" t="str">
        <x:v>infection_diet50</x:v>
      </x:c>
      <x:c r="F361" s="10" t="n">
        <x:v>1.30785999083809</x:v>
      </x:c>
      <x:c r="G361" s="10" t="n">
        <x:v>0.0000669673338839112</x:v>
      </x:c>
      <x:c r="H361" s="10" t="n">
        <x:v>1108.02405016291</x:v>
      </x:c>
      <x:c r="I361" s="15" t="b">
        <x:v>0</x:v>
      </x:c>
    </x:row>
    <x:row r="362">
      <x:c r="A362" s="10" t="str">
        <x:v>LOC126354067</x:v>
      </x:c>
      <x:c r="B362" s="10" t="str">
        <x:v>juvenile hormone esterase-like</x:v>
      </x:c>
      <x:c r="C362" s="10" t="str">
        <x:v>protein_coding</x:v>
      </x:c>
      <x:c r="D362" s="10" t="str">
        <x:v>Lipid synthesis / metabolism</x:v>
      </x:c>
      <x:c r="E362" s="10" t="str">
        <x:v>infection_diet50</x:v>
      </x:c>
      <x:c r="F362" s="10" t="n">
        <x:v>1.13057352222407</x:v>
      </x:c>
      <x:c r="G362" s="10" t="n">
        <x:v>0.0444810362243516</x:v>
      </x:c>
      <x:c r="H362" s="10" t="n">
        <x:v>6.76388306689577</x:v>
      </x:c>
      <x:c r="I362" s="15" t="b">
        <x:v>0</x:v>
      </x:c>
    </x:row>
    <x:row r="363">
      <x:c r="A363" s="10" t="str">
        <x:v>LOC126354068</x:v>
      </x:c>
      <x:c r="B363" s="10" t="str">
        <x:v>cholinesterase-like</x:v>
      </x:c>
      <x:c r="C363" s="10" t="str">
        <x:v>protein_coding</x:v>
      </x:c>
      <x:c r="D363" s="10" t="str">
        <x:v>Lipid synthesis / metabolism</x:v>
      </x:c>
      <x:c r="E363" s="10" t="str">
        <x:v>infection_average_all_diets; infection_diet50; infection_diet83</x:v>
      </x:c>
      <x:c r="F363" s="10" t="n">
        <x:v>4.66887722912591</x:v>
      </x:c>
      <x:c r="G363" s="10" t="n">
        <x:v>1.01164308434406e-7</x:v>
      </x:c>
      <x:c r="H363" s="10" t="n">
        <x:v>594.219807439745</x:v>
      </x:c>
      <x:c r="I363" s="15" t="b">
        <x:v>0</x:v>
      </x:c>
    </x:row>
    <x:row r="364">
      <x:c r="A364" s="10" t="str">
        <x:v>LOC126354316</x:v>
      </x:c>
      <x:c r="B364" s="10" t="str">
        <x:v>cholinesterase-like</x:v>
      </x:c>
      <x:c r="C364" s="10" t="str">
        <x:v>protein_coding</x:v>
      </x:c>
      <x:c r="D364" s="10" t="str">
        <x:v>Lipid synthesis / metabolism</x:v>
      </x:c>
      <x:c r="E364" s="10" t="str">
        <x:v>infection_average_all_diets</x:v>
      </x:c>
      <x:c r="F364" s="10" t="n">
        <x:v>1.79445857018393</x:v>
      </x:c>
      <x:c r="G364" s="10" t="n">
        <x:v>0.0021012548486722</x:v>
      </x:c>
      <x:c r="H364" s="10" t="n">
        <x:v>5392.48596355386</x:v>
      </x:c>
      <x:c r="I364" s="15" t="b">
        <x:v>0</x:v>
      </x:c>
    </x:row>
    <x:row r="365">
      <x:c r="A365" s="10" t="str">
        <x:v>LOC126354365</x:v>
      </x:c>
      <x:c r="B365" s="10" t="str">
        <x:v>juvenile hormone esterase-like</x:v>
      </x:c>
      <x:c r="C365" s="10" t="str">
        <x:v>protein_coding</x:v>
      </x:c>
      <x:c r="D365" s="10" t="str">
        <x:v>Lipid synthesis / metabolism</x:v>
      </x:c>
      <x:c r="E365" s="10" t="str">
        <x:v>control_diet83_vs33; infection_diet83</x:v>
      </x:c>
      <x:c r="F365" s="10" t="n">
        <x:v>1.90649978870756</x:v>
      </x:c>
      <x:c r="G365" s="10" t="n">
        <x:v>0.0009434980118391</x:v>
      </x:c>
      <x:c r="H365" s="10" t="n">
        <x:v>64.6487072047254</x:v>
      </x:c>
      <x:c r="I365" s="15" t="b">
        <x:v>0</x:v>
      </x:c>
    </x:row>
    <x:row r="366">
      <x:c r="A366" s="10" t="str">
        <x:v>LOC126354407</x:v>
      </x:c>
      <x:c r="B366" s="10" t="str">
        <x:v>juvenile hormone esterase-like</x:v>
      </x:c>
      <x:c r="C366" s="10" t="str">
        <x:v>protein_coding</x:v>
      </x:c>
      <x:c r="D366" s="10" t="str">
        <x:v>Lipid synthesis / metabolism</x:v>
      </x:c>
      <x:c r="E366" s="10" t="str">
        <x:v>infection_average_all_diets; infection_diet33; infection_diet50</x:v>
      </x:c>
      <x:c r="F366" s="10" t="n">
        <x:v>3.47948069125929</x:v>
      </x:c>
      <x:c r="G366" s="10" t="n">
        <x:v>2.31613634219219e-7</x:v>
      </x:c>
      <x:c r="H366" s="10" t="n">
        <x:v>1493.00468944969</x:v>
      </x:c>
      <x:c r="I366" s="15" t="b">
        <x:v>0</x:v>
      </x:c>
    </x:row>
    <x:row r="367">
      <x:c r="A367" s="10" t="str">
        <x:v>LOC126354457</x:v>
      </x:c>
      <x:c r="B367" s="10" t="str">
        <x:v>pyrethroid hydrolase Ces2e-like</x:v>
      </x:c>
      <x:c r="C367" s="10" t="str">
        <x:v>protein_coding</x:v>
      </x:c>
      <x:c r="D367" s="10" t="str">
        <x:v>Lipid synthesis / metabolism</x:v>
      </x:c>
      <x:c r="E367" s="10" t="str">
        <x:v>infection_average_all_diets</x:v>
      </x:c>
      <x:c r="F367" s="10" t="n">
        <x:v>1.78608282521054</x:v>
      </x:c>
      <x:c r="G367" s="10" t="n">
        <x:v>0.0028176031404909</x:v>
      </x:c>
      <x:c r="H367" s="10" t="n">
        <x:v>5230.02626513674</x:v>
      </x:c>
      <x:c r="I367" s="15" t="b">
        <x:v>0</x:v>
      </x:c>
    </x:row>
    <x:row r="368">
      <x:c r="A368" s="10" t="str">
        <x:v>LOC126354459</x:v>
      </x:c>
      <x:c r="B368" s="10" t="str">
        <x:v>para-nitrobenzyl esterase-like</x:v>
      </x:c>
      <x:c r="C368" s="10" t="str">
        <x:v>protein_coding</x:v>
      </x:c>
      <x:c r="D368" s="10" t="str">
        <x:v>Lipid synthesis / metabolism</x:v>
      </x:c>
      <x:c r="E368" s="10" t="str">
        <x:v>infection_average_all_diets; infection_diet50</x:v>
      </x:c>
      <x:c r="F368" s="10" t="n">
        <x:v>2.56913683559886</x:v>
      </x:c>
      <x:c r="G368" s="10" t="n">
        <x:v>0.0125521845179289</x:v>
      </x:c>
      <x:c r="H368" s="10" t="n">
        <x:v>201.109866622633</x:v>
      </x:c>
      <x:c r="I368" s="15" t="b">
        <x:v>0</x:v>
      </x:c>
    </x:row>
    <x:row r="369">
      <x:c r="A369" s="10" t="str">
        <x:v>LOC126354620</x:v>
      </x:c>
      <x:c r="B369" s="10" t="str">
        <x:v>putative fatty acyl-CoA reductase CG5065</x:v>
      </x:c>
      <x:c r="C369" s="10" t="str">
        <x:v>protein_coding</x:v>
      </x:c>
      <x:c r="D369" s="10" t="str">
        <x:v>Lipid synthesis / metabolism</x:v>
      </x:c>
      <x:c r="E369" s="10" t="str">
        <x:v>infection_average_all_diets; infection_diet33; infection_diet50</x:v>
      </x:c>
      <x:c r="F369" s="10" t="n">
        <x:v>2.35847395979844</x:v>
      </x:c>
      <x:c r="G369" s="10" t="n">
        <x:v>0.0004686988497923</x:v>
      </x:c>
      <x:c r="H369" s="10" t="n">
        <x:v>99.4386964174534</x:v>
      </x:c>
      <x:c r="I369" s="15" t="b">
        <x:v>0</x:v>
      </x:c>
    </x:row>
    <x:row r="370">
      <x:c r="A370" s="10" t="str">
        <x:v>LOC126354701</x:v>
      </x:c>
      <x:c r="B370" s="10" t="str">
        <x:v>venom carboxylesterase-6-like</x:v>
      </x:c>
      <x:c r="C370" s="10" t="str">
        <x:v>protein_coding</x:v>
      </x:c>
      <x:c r="D370" s="10" t="str">
        <x:v>Lipid synthesis / metabolism</x:v>
      </x:c>
      <x:c r="E370" s="10" t="str">
        <x:v>infection_average_all_diets; infection_diet33; infection_diet83</x:v>
      </x:c>
      <x:c r="F370" s="10" t="n">
        <x:v>1.81944521522598</x:v>
      </x:c>
      <x:c r="G370" s="10" t="n">
        <x:v>0.00000376575910777535</x:v>
      </x:c>
      <x:c r="H370" s="10" t="n">
        <x:v>169.307110532703</x:v>
      </x:c>
      <x:c r="I370" s="15" t="b">
        <x:v>0</x:v>
      </x:c>
    </x:row>
    <x:row r="371">
      <x:c r="A371" s="10" t="str">
        <x:v>LOC126354702</x:v>
      </x:c>
      <x:c r="B371" s="10" t="str">
        <x:v>juvenile hormone esterase-like</x:v>
      </x:c>
      <x:c r="C371" s="10" t="str">
        <x:v>protein_coding</x:v>
      </x:c>
      <x:c r="D371" s="10" t="str">
        <x:v>Lipid synthesis / metabolism</x:v>
      </x:c>
      <x:c r="E371" s="10" t="str">
        <x:v>infection_diet50</x:v>
      </x:c>
      <x:c r="F371" s="10" t="n">
        <x:v>1.6104451000663</x:v>
      </x:c>
      <x:c r="G371" s="10" t="n">
        <x:v>0.0473004342291271</x:v>
      </x:c>
      <x:c r="H371" s="10" t="n">
        <x:v>631.976241222727</x:v>
      </x:c>
      <x:c r="I371" s="15" t="b">
        <x:v>0</x:v>
      </x:c>
    </x:row>
    <x:row r="372">
      <x:c r="A372" s="10" t="str">
        <x:v>LOC126354703</x:v>
      </x:c>
      <x:c r="B372" s="10" t="str">
        <x:v>juvenile hormone esterase-like</x:v>
      </x:c>
      <x:c r="C372" s="10" t="str">
        <x:v>protein_coding</x:v>
      </x:c>
      <x:c r="D372" s="10" t="str">
        <x:v>Lipid synthesis / metabolism</x:v>
      </x:c>
      <x:c r="E372" s="10" t="str">
        <x:v>infection_average_all_diets; infection_diet33; infection_diet50</x:v>
      </x:c>
      <x:c r="F372" s="10" t="n">
        <x:v>1.93694395775628</x:v>
      </x:c>
      <x:c r="G372" s="10" t="n">
        <x:v>0.0005752622136435</x:v>
      </x:c>
      <x:c r="H372" s="10" t="n">
        <x:v>5.14440225525105</x:v>
      </x:c>
      <x:c r="I372" s="15" t="b">
        <x:v>0</x:v>
      </x:c>
    </x:row>
    <x:row r="373">
      <x:c r="A373" s="10" t="str">
        <x:v>LOC126354705</x:v>
      </x:c>
      <x:c r="B373" s="10" t="str">
        <x:v>juvenile hormone esterase-like</x:v>
      </x:c>
      <x:c r="C373" s="10" t="str">
        <x:v>protein_coding</x:v>
      </x:c>
      <x:c r="D373" s="10" t="str">
        <x:v>Lipid synthesis / metabolism</x:v>
      </x:c>
      <x:c r="E373" s="10" t="str">
        <x:v>infection_diet50</x:v>
      </x:c>
      <x:c r="F373" s="10" t="n">
        <x:v>1.94205477954677</x:v>
      </x:c>
      <x:c r="G373" s="10" t="n">
        <x:v>0.0053864496553168</x:v>
      </x:c>
      <x:c r="H373" s="10" t="n">
        <x:v>46.8141690151263</x:v>
      </x:c>
      <x:c r="I373" s="15" t="b">
        <x:v>0</x:v>
      </x:c>
    </x:row>
    <x:row r="374">
      <x:c r="A374" s="10" t="str">
        <x:v>LOC126354707</x:v>
      </x:c>
      <x:c r="B374" s="10" t="str">
        <x:v>esterase FE4-like</x:v>
      </x:c>
      <x:c r="C374" s="10" t="str">
        <x:v>protein_coding</x:v>
      </x:c>
      <x:c r="D374" s="10" t="str">
        <x:v>Lipid synthesis / metabolism</x:v>
      </x:c>
      <x:c r="E374" s="10" t="str">
        <x:v>infection_average_all_diets; infection_diet33; infection_diet83</x:v>
      </x:c>
      <x:c r="F374" s="10" t="n">
        <x:v>1.70032787253522</x:v>
      </x:c>
      <x:c r="G374" s="10" t="n">
        <x:v>9.10846390821708e-7</x:v>
      </x:c>
      <x:c r="H374" s="10" t="n">
        <x:v>8.54751339585553</x:v>
      </x:c>
      <x:c r="I374" s="15" t="b">
        <x:v>0</x:v>
      </x:c>
    </x:row>
    <x:row r="375">
      <x:c r="A375" s="10" t="str">
        <x:v>LOC126355150</x:v>
      </x:c>
      <x:c r="B375" s="10" t="str">
        <x:v>juvenile hormone esterase</x:v>
      </x:c>
      <x:c r="C375" s="10" t="str">
        <x:v>protein_coding</x:v>
      </x:c>
      <x:c r="D375" s="10" t="str">
        <x:v>Lipid synthesis / metabolism</x:v>
      </x:c>
      <x:c r="E375" s="10" t="str">
        <x:v>infection_diet50</x:v>
      </x:c>
      <x:c r="F375" s="10" t="n">
        <x:v>3.19245014348158</x:v>
      </x:c>
      <x:c r="G375" s="10" t="n">
        <x:v>0.0035958478334969</x:v>
      </x:c>
      <x:c r="H375" s="10" t="n">
        <x:v>809.919880738017</x:v>
      </x:c>
      <x:c r="I375" s="15" t="b">
        <x:v>0</x:v>
      </x:c>
    </x:row>
    <x:row r="376">
      <x:c r="A376" s="10" t="str">
        <x:v>LOC126355184</x:v>
      </x:c>
      <x:c r="B376" s="10" t="str">
        <x:v>venom carboxylesterase-6-like</x:v>
      </x:c>
      <x:c r="C376" s="10" t="str">
        <x:v>protein_coding</x:v>
      </x:c>
      <x:c r="D376" s="10" t="str">
        <x:v>Lipid synthesis / metabolism</x:v>
      </x:c>
      <x:c r="E376" s="10" t="str">
        <x:v>infection_average_all_diets; infection_diet33; infection_diet50; infection_diet83</x:v>
      </x:c>
      <x:c r="F376" s="10" t="n">
        <x:v>1.97472375904292</x:v>
      </x:c>
      <x:c r="G376" s="10" t="n">
        <x:v>3.79635765149058e-10</x:v>
      </x:c>
      <x:c r="H376" s="10" t="n">
        <x:v>208.409759294446</x:v>
      </x:c>
      <x:c r="I376" s="15" t="b">
        <x:v>0</x:v>
      </x:c>
    </x:row>
    <x:row r="377">
      <x:c r="A377" s="10" t="str">
        <x:v>LOC126355941</x:v>
      </x:c>
      <x:c r="B377" s="10" t="str">
        <x:v>juvenile hormone esterase-like</x:v>
      </x:c>
      <x:c r="C377" s="10" t="str">
        <x:v>protein_coding</x:v>
      </x:c>
      <x:c r="D377" s="10" t="str">
        <x:v>Lipid synthesis / metabolism</x:v>
      </x:c>
      <x:c r="E377" s="10" t="str">
        <x:v>infection_average_all_diets; infection_diet33; infection_diet50</x:v>
      </x:c>
      <x:c r="F377" s="10" t="n">
        <x:v>1.44268246319152</x:v>
      </x:c>
      <x:c r="G377" s="10" t="n">
        <x:v>0.0000928149806612297</x:v>
      </x:c>
      <x:c r="H377" s="10" t="n">
        <x:v>12.8711392560616</x:v>
      </x:c>
      <x:c r="I377" s="15" t="b">
        <x:v>0</x:v>
      </x:c>
    </x:row>
    <x:row r="378">
      <x:c r="A378" s="10" t="str">
        <x:v>LOC126355944</x:v>
      </x:c>
      <x:c r="B378" s="10" t="str">
        <x:v>juvenile hormone esterase-like</x:v>
      </x:c>
      <x:c r="C378" s="10" t="str">
        <x:v>protein_coding</x:v>
      </x:c>
      <x:c r="D378" s="10" t="str">
        <x:v>Lipid synthesis / metabolism</x:v>
      </x:c>
      <x:c r="E378" s="10" t="str">
        <x:v>infection_average_all_diets; infection_diet33; infection_diet50</x:v>
      </x:c>
      <x:c r="F378" s="10" t="n">
        <x:v>3.05651090848111</x:v>
      </x:c>
      <x:c r="G378" s="10" t="n">
        <x:v>0.0032706214765228</x:v>
      </x:c>
      <x:c r="H378" s="10" t="n">
        <x:v>26.1704803226357</x:v>
      </x:c>
      <x:c r="I378" s="15" t="b">
        <x:v>0</x:v>
      </x:c>
    </x:row>
    <x:row r="379">
      <x:c r="A379" s="10" t="str">
        <x:v>LOC126356100</x:v>
      </x:c>
      <x:c r="B379" s="10" t="str">
        <x:v>glycerol-3-phosphate acyltransferase 1, mitochondrial</x:v>
      </x:c>
      <x:c r="C379" s="10" t="str">
        <x:v>protein_coding</x:v>
      </x:c>
      <x:c r="D379" s="10" t="str">
        <x:v>Lipid synthesis / metabolism</x:v>
      </x:c>
      <x:c r="E379" s="10" t="str">
        <x:v>infection_diet50</x:v>
      </x:c>
      <x:c r="F379" s="10" t="n">
        <x:v>1.01092599743422</x:v>
      </x:c>
      <x:c r="G379" s="10" t="n">
        <x:v>0.0000739511709572341</x:v>
      </x:c>
      <x:c r="H379" s="10" t="n">
        <x:v>2226.08406763856</x:v>
      </x:c>
      <x:c r="I379" s="15" t="b">
        <x:v>0</x:v>
      </x:c>
    </x:row>
    <x:row r="380">
      <x:c r="A380" s="10" t="str">
        <x:v>LOC126356127</x:v>
      </x:c>
      <x:c r="B380" s="10" t="str">
        <x:v>cholinesterase-like</x:v>
      </x:c>
      <x:c r="C380" s="10" t="str">
        <x:v>protein_coding</x:v>
      </x:c>
      <x:c r="D380" s="10" t="str">
        <x:v>Lipid synthesis / metabolism</x:v>
      </x:c>
      <x:c r="E380" s="10" t="str">
        <x:v>infection_average_all_diets</x:v>
      </x:c>
      <x:c r="F380" s="10" t="n">
        <x:v>1.56377744723552</x:v>
      </x:c>
      <x:c r="G380" s="10" t="n">
        <x:v>0.0015926839862895</x:v>
      </x:c>
      <x:c r="H380" s="10" t="n">
        <x:v>19.6095937731523</x:v>
      </x:c>
      <x:c r="I380" s="15" t="b">
        <x:v>0</x:v>
      </x:c>
    </x:row>
    <x:row r="381">
      <x:c r="A381" s="10" t="str">
        <x:v>LOC126356215</x:v>
      </x:c>
      <x:c r="B381" s="10" t="str">
        <x:v>cholinesterase-like</x:v>
      </x:c>
      <x:c r="C381" s="10" t="str">
        <x:v>protein_coding</x:v>
      </x:c>
      <x:c r="D381" s="10" t="str">
        <x:v>Lipid synthesis / metabolism</x:v>
      </x:c>
      <x:c r="E381" s="10" t="str">
        <x:v>infection_average_all_diets; infection_diet33; infection_diet50; infection_diet83</x:v>
      </x:c>
      <x:c r="F381" s="10" t="n">
        <x:v>2.11776853489977</x:v>
      </x:c>
      <x:c r="G381" s="10" t="n">
        <x:v>1.31262571743275e-9</x:v>
      </x:c>
      <x:c r="H381" s="10" t="n">
        <x:v>769.828435035704</x:v>
      </x:c>
      <x:c r="I381" s="15" t="b">
        <x:v>0</x:v>
      </x:c>
    </x:row>
    <x:row r="382">
      <x:c r="A382" s="10" t="str">
        <x:v>LOC126356371</x:v>
      </x:c>
      <x:c r="B382" s="10" t="str">
        <x:v>fatty acid synthase</x:v>
      </x:c>
      <x:c r="C382" s="10" t="str">
        <x:v>protein_coding</x:v>
      </x:c>
      <x:c r="D382" s="10" t="str">
        <x:v>Lipid synthesis / metabolism</x:v>
      </x:c>
      <x:c r="E382" s="10" t="str">
        <x:v>infection_average_all_diets; infection_diet33; infection_diet50</x:v>
      </x:c>
      <x:c r="F382" s="10" t="n">
        <x:v>1.21756793337985</x:v>
      </x:c>
      <x:c r="G382" s="10" t="n">
        <x:v>0.0000314890708860901</x:v>
      </x:c>
      <x:c r="H382" s="10" t="n">
        <x:v>6417.73443018722</x:v>
      </x:c>
      <x:c r="I382" s="15" t="b">
        <x:v>0</x:v>
      </x:c>
    </x:row>
    <x:row r="383">
      <x:c r="A383" s="10" t="str">
        <x:v>LOC126360117</x:v>
      </x:c>
      <x:c r="B383" s="10" t="str">
        <x:v>long-chain fatty acid transport protein 1-like</x:v>
      </x:c>
      <x:c r="C383" s="10" t="str">
        <x:v>protein_coding</x:v>
      </x:c>
      <x:c r="D383" s="10" t="str">
        <x:v>Lipid synthesis / metabolism</x:v>
      </x:c>
      <x:c r="E383" s="10" t="str">
        <x:v>infection_average_all_diets; infection_diet50; infection_diet83</x:v>
      </x:c>
      <x:c r="F383" s="10" t="n">
        <x:v>1.82392635024063</x:v>
      </x:c>
      <x:c r="G383" s="10" t="n">
        <x:v>2.5709312752805e-13</x:v>
      </x:c>
      <x:c r="H383" s="10" t="n">
        <x:v>1092.40159566139</x:v>
      </x:c>
      <x:c r="I383" s="15" t="b">
        <x:v>0</x:v>
      </x:c>
    </x:row>
    <x:row r="384">
      <x:c r="A384" s="10" t="str">
        <x:v>LOC126361652</x:v>
      </x:c>
      <x:c r="B384" s="10" t="str">
        <x:v>NPC intracellular cholesterol transporter 2-like</x:v>
      </x:c>
      <x:c r="C384" s="10" t="str">
        <x:v>protein_coding</x:v>
      </x:c>
      <x:c r="D384" s="10" t="str">
        <x:v>Lipid synthesis / metabolism</x:v>
      </x:c>
      <x:c r="E384" s="10" t="str">
        <x:v>infection_average_all_diets</x:v>
      </x:c>
      <x:c r="F384" s="10" t="n">
        <x:v>1.00645138103033</x:v>
      </x:c>
      <x:c r="G384" s="10" t="n">
        <x:v>0.0268209364461796</x:v>
      </x:c>
      <x:c r="H384" s="10" t="n">
        <x:v>368.079892611514</x:v>
      </x:c>
      <x:c r="I384" s="15" t="b">
        <x:v>0</x:v>
      </x:c>
    </x:row>
    <x:row r="385">
      <x:c r="A385" s="10" t="str">
        <x:v>LOC126365914</x:v>
      </x:c>
      <x:c r="B385" s="10" t="str">
        <x:v>phospholipase DDHD2</x:v>
      </x:c>
      <x:c r="C385" s="10" t="str">
        <x:v>protein_coding</x:v>
      </x:c>
      <x:c r="D385" s="10" t="str">
        <x:v>Lipid synthesis / metabolism</x:v>
      </x:c>
      <x:c r="E385" s="10" t="str">
        <x:v>infection_average_all_diets; infection_diet50; infection_diet83</x:v>
      </x:c>
      <x:c r="F385" s="10" t="n">
        <x:v>1.21533045995976</x:v>
      </x:c>
      <x:c r="G385" s="10" t="n">
        <x:v>3.82007977867484e-8</x:v>
      </x:c>
      <x:c r="H385" s="10" t="n">
        <x:v>936.769305142649</x:v>
      </x:c>
      <x:c r="I385" s="15" t="b">
        <x:v>0</x:v>
      </x:c>
    </x:row>
    <x:row r="386">
      <x:c r="A386" s="10" t="str">
        <x:v>LOC126365945</x:v>
      </x:c>
      <x:c r="B386" s="10" t="str">
        <x:v>cholesterol 7-desaturase nvd</x:v>
      </x:c>
      <x:c r="C386" s="10" t="str">
        <x:v>protein_coding</x:v>
      </x:c>
      <x:c r="D386" s="10" t="str">
        <x:v>Lipid synthesis / metabolism</x:v>
      </x:c>
      <x:c r="E386" s="10" t="str">
        <x:v>infected_diet83_vs33; infected_diet83_vs50; infection_diet83</x:v>
      </x:c>
      <x:c r="F386" s="10" t="n">
        <x:v>2.76496794691388</x:v>
      </x:c>
      <x:c r="G386" s="10" t="n">
        <x:v>0.0000377041603490888</x:v>
      </x:c>
      <x:c r="H386" s="10" t="n">
        <x:v>49.4350497853572</x:v>
      </x:c>
      <x:c r="I386" s="15" t="b">
        <x:v>0</x:v>
      </x:c>
    </x:row>
    <x:row r="387">
      <x:c r="A387" s="10" t="str">
        <x:v>LOC126272094</x:v>
      </x:c>
      <x:c r="B387" s="10" t="str">
        <x:v>ribosome-binding protein 1</x:v>
      </x:c>
      <x:c r="C387" s="10" t="str">
        <x:v>protein_coding</x:v>
      </x:c>
      <x:c r="D387" s="10" t="str">
        <x:v>Protein synthesis / storage</x:v>
      </x:c>
      <x:c r="E387" s="10" t="str">
        <x:v>infection_diet50</x:v>
      </x:c>
      <x:c r="F387" s="10" t="n">
        <x:v>1.30769409925759</x:v>
      </x:c>
      <x:c r="G387" s="10" t="n">
        <x:v>0.0288714646572689</x:v>
      </x:c>
      <x:c r="H387" s="10" t="n">
        <x:v>1419.90759158641</x:v>
      </x:c>
      <x:c r="I387" s="15" t="b">
        <x:v>0</x:v>
      </x:c>
    </x:row>
    <x:row r="388">
      <x:c r="A388" s="10" t="str">
        <x:v>LOC126272858</x:v>
      </x:c>
      <x:c r="B388" s="10" t="str">
        <x:v>growth arrest and DNA damage-inducible protein GADD45 gamma</x:v>
      </x:c>
      <x:c r="C388" s="10" t="str">
        <x:v>protein_coding</x:v>
      </x:c>
      <x:c r="D388" s="10" t="str">
        <x:v>Protein synthesis / storage</x:v>
      </x:c>
      <x:c r="E388" s="10" t="str">
        <x:v>infection_average_all_diets; infection_diet33; infection_diet50; infection_diet83</x:v>
      </x:c>
      <x:c r="F388" s="10" t="n">
        <x:v>2.2466804468446</x:v>
      </x:c>
      <x:c r="G388" s="10" t="n">
        <x:v>1.40658716892048e-9</x:v>
      </x:c>
      <x:c r="H388" s="10" t="n">
        <x:v>228.082416521794</x:v>
      </x:c>
      <x:c r="I388" s="15" t="b">
        <x:v>0</x:v>
      </x:c>
    </x:row>
    <x:row r="389">
      <x:c r="A389" s="10" t="str">
        <x:v>LOC126272860</x:v>
      </x:c>
      <x:c r="B389" s="10" t="str">
        <x:v>translation initiation factor IF-2-like</x:v>
      </x:c>
      <x:c r="C389" s="10" t="str">
        <x:v>protein_coding</x:v>
      </x:c>
      <x:c r="D389" s="10" t="str">
        <x:v>Protein synthesis / storage</x:v>
      </x:c>
      <x:c r="E389" s="10" t="str">
        <x:v>infected_diet83_vs33; infection_average_all_diets; infection_diet33; infection_diet50; infection_diet83</x:v>
      </x:c>
      <x:c r="F389" s="10" t="n">
        <x:v>4.62995187907849</x:v>
      </x:c>
      <x:c r="G389" s="10" t="n">
        <x:v>3.84937743607643e-22</x:v>
      </x:c>
      <x:c r="H389" s="10" t="n">
        <x:v>104.000335864118</x:v>
      </x:c>
      <x:c r="I389" s="15" t="b">
        <x:v>0</x:v>
      </x:c>
    </x:row>
    <x:row r="390">
      <x:c r="A390" s="10" t="str">
        <x:v>LOC126278820</x:v>
      </x:c>
      <x:c r="B390" s="10" t="str">
        <x:v>translation initiation factor IF-2-like</x:v>
      </x:c>
      <x:c r="C390" s="10" t="str">
        <x:v>protein_coding</x:v>
      </x:c>
      <x:c r="D390" s="10" t="str">
        <x:v>Protein synthesis / storage</x:v>
      </x:c>
      <x:c r="E390" s="10" t="str">
        <x:v>infection_diet50</x:v>
      </x:c>
      <x:c r="F390" s="10" t="n">
        <x:v>1.29604444571771</x:v>
      </x:c>
      <x:c r="G390" s="10" t="n">
        <x:v>0.0009377704349012</x:v>
      </x:c>
      <x:c r="H390" s="10" t="n">
        <x:v>30.2665687733953</x:v>
      </x:c>
      <x:c r="I390" s="15" t="b">
        <x:v>0</x:v>
      </x:c>
    </x:row>
    <x:row r="391">
      <x:c r="A391" s="10" t="str">
        <x:v>LOC126281245</x:v>
      </x:c>
      <x:c r="B391" s="10" t="str">
        <x:v>cysteine--tRNA ligase, cytoplasmic</x:v>
      </x:c>
      <x:c r="C391" s="10" t="str">
        <x:v>protein_coding</x:v>
      </x:c>
      <x:c r="D391" s="10" t="str">
        <x:v>Protein synthesis / storage</x:v>
      </x:c>
      <x:c r="E391" s="10" t="str">
        <x:v>infection_average_all_diets; infection_diet33; infection_diet83</x:v>
      </x:c>
      <x:c r="F391" s="10" t="n">
        <x:v>1.07666737715773</x:v>
      </x:c>
      <x:c r="G391" s="10" t="n">
        <x:v>7.873618537975961e-14</x:v>
      </x:c>
      <x:c r="H391" s="10" t="n">
        <x:v>427.840834676632</x:v>
      </x:c>
      <x:c r="I391" s="15" t="b">
        <x:v>0</x:v>
      </x:c>
    </x:row>
    <x:row r="392">
      <x:c r="A392" s="10" t="str">
        <x:v>LOC126293411</x:v>
      </x:c>
      <x:c r="B392" s="10" t="str">
        <x:v>60S ribosomal protein L15</x:v>
      </x:c>
      <x:c r="C392" s="10" t="str">
        <x:v>protein_coding</x:v>
      </x:c>
      <x:c r="D392" s="10" t="str">
        <x:v>Protein synthesis / storage</x:v>
      </x:c>
      <x:c r="E392" s="10" t="str">
        <x:v>infection_diet33</x:v>
      </x:c>
      <x:c r="F392" s="10" t="n">
        <x:v>1.02323253169351</x:v>
      </x:c>
      <x:c r="G392" s="10" t="n">
        <x:v>0.017480543008103</x:v>
      </x:c>
      <x:c r="H392" s="10" t="n">
        <x:v>569.260500303531</x:v>
      </x:c>
      <x:c r="I392" s="15" t="b">
        <x:v>0</x:v>
      </x:c>
    </x:row>
    <x:row r="393">
      <x:c r="A393" s="10" t="str">
        <x:v>LOC126334818</x:v>
      </x:c>
      <x:c r="B393" s="10" t="str">
        <x:v>ribosomal protein S6 kinase alpha-5-like</x:v>
      </x:c>
      <x:c r="C393" s="10" t="str">
        <x:v>protein_coding</x:v>
      </x:c>
      <x:c r="D393" s="10" t="str">
        <x:v>Protein synthesis / storage</x:v>
      </x:c>
      <x:c r="E393" s="10" t="str">
        <x:v>infection_average_all_diets; infection_diet33; infection_diet50; infection_diet83</x:v>
      </x:c>
      <x:c r="F393" s="10" t="n">
        <x:v>2.23234594398446</x:v>
      </x:c>
      <x:c r="G393" s="10" t="n">
        <x:v>2.06486065970864e-20</x:v>
      </x:c>
      <x:c r="H393" s="10" t="n">
        <x:v>2930.4754143369</x:v>
      </x:c>
      <x:c r="I393" s="15" t="b">
        <x:v>0</x:v>
      </x:c>
    </x:row>
    <x:row r="394">
      <x:c r="A394" s="10" t="str">
        <x:v>LOC126334873</x:v>
      </x:c>
      <x:c r="B394" s="10" t="str">
        <x:v>hexamerin-like</x:v>
      </x:c>
      <x:c r="C394" s="10" t="str">
        <x:v>protein_coding</x:v>
      </x:c>
      <x:c r="D394" s="10" t="str">
        <x:v>Protein synthesis / storage</x:v>
      </x:c>
      <x:c r="E394" s="10" t="str">
        <x:v>infection_average_all_diets; infection_diet50</x:v>
      </x:c>
      <x:c r="F394" s="10" t="n">
        <x:v>2.44645312468352</x:v>
      </x:c>
      <x:c r="G394" s="10" t="n">
        <x:v>0.0005070913319297</x:v>
      </x:c>
      <x:c r="H394" s="10" t="n">
        <x:v>31915.9141028719</x:v>
      </x:c>
      <x:c r="I394" s="15" t="b">
        <x:v>0</x:v>
      </x:c>
    </x:row>
    <x:row r="395">
      <x:c r="A395" s="10" t="str">
        <x:v>LOC126334874</x:v>
      </x:c>
      <x:c r="B395" s="10" t="str">
        <x:v>hexamerin-like</x:v>
      </x:c>
      <x:c r="C395" s="10" t="str">
        <x:v>protein_coding</x:v>
      </x:c>
      <x:c r="D395" s="10" t="str">
        <x:v>Protein synthesis / storage</x:v>
      </x:c>
      <x:c r="E395" s="10" t="str">
        <x:v>infection_average_all_diets</x:v>
      </x:c>
      <x:c r="F395" s="10" t="n">
        <x:v>1.55972543936511</x:v>
      </x:c>
      <x:c r="G395" s="10" t="n">
        <x:v>0.0044934378564804</x:v>
      </x:c>
      <x:c r="H395" s="10" t="n">
        <x:v>44805.7996602639</x:v>
      </x:c>
      <x:c r="I395" s="15" t="b">
        <x:v>0</x:v>
      </x:c>
    </x:row>
    <x:row r="396">
      <x:c r="A396" s="10" t="str">
        <x:v>LOC126334879</x:v>
      </x:c>
      <x:c r="B396" s="10" t="str">
        <x:v>hexamerin-like</x:v>
      </x:c>
      <x:c r="C396" s="10" t="str">
        <x:v>protein_coding</x:v>
      </x:c>
      <x:c r="D396" s="10" t="str">
        <x:v>Protein synthesis / storage</x:v>
      </x:c>
      <x:c r="E396" s="10" t="str">
        <x:v>infection_average_all_diets; infection_diet50</x:v>
      </x:c>
      <x:c r="F396" s="10" t="n">
        <x:v>4.17386065759151</x:v>
      </x:c>
      <x:c r="G396" s="10" t="n">
        <x:v>0.0008367236117039</x:v>
      </x:c>
      <x:c r="H396" s="10" t="n">
        <x:v>17160.5874470655</x:v>
      </x:c>
      <x:c r="I396" s="15" t="b">
        <x:v>0</x:v>
      </x:c>
    </x:row>
    <x:row r="397">
      <x:c r="A397" s="10" t="str">
        <x:v>LOC126334880</x:v>
      </x:c>
      <x:c r="B397" s="10" t="str">
        <x:v>hexamerin-like</x:v>
      </x:c>
      <x:c r="C397" s="10" t="str">
        <x:v>protein_coding</x:v>
      </x:c>
      <x:c r="D397" s="10" t="str">
        <x:v>Protein synthesis / storage</x:v>
      </x:c>
      <x:c r="E397" s="10" t="str">
        <x:v>infection_average_all_diets</x:v>
      </x:c>
      <x:c r="F397" s="10" t="n">
        <x:v>1.78798907594355</x:v>
      </x:c>
      <x:c r="G397" s="10" t="n">
        <x:v>0.0192013996414444</x:v>
      </x:c>
      <x:c r="H397" s="10" t="n">
        <x:v>30556.8823514879</x:v>
      </x:c>
      <x:c r="I397" s="15" t="b">
        <x:v>0</x:v>
      </x:c>
    </x:row>
    <x:row r="398">
      <x:c r="A398" s="10" t="str">
        <x:v>LOC126334929</x:v>
      </x:c>
      <x:c r="B398" s="10" t="str">
        <x:v>eukaryotic translation initiation factor 4E-binding protein</x:v>
      </x:c>
      <x:c r="C398" s="10" t="str">
        <x:v>protein_coding</x:v>
      </x:c>
      <x:c r="D398" s="10" t="str">
        <x:v>Protein synthesis / storage</x:v>
      </x:c>
      <x:c r="E398" s="10" t="str">
        <x:v>infection_average_all_diets; infection_diet50</x:v>
      </x:c>
      <x:c r="F398" s="10" t="n">
        <x:v>1.25698475707479</x:v>
      </x:c>
      <x:c r="G398" s="10" t="n">
        <x:v>0.0000541411791321436</x:v>
      </x:c>
      <x:c r="H398" s="10" t="n">
        <x:v>1171.46839920998</x:v>
      </x:c>
      <x:c r="I398" s="15" t="b">
        <x:v>0</x:v>
      </x:c>
    </x:row>
    <x:row r="399">
      <x:c r="A399" s="10" t="str">
        <x:v>LOC126336417</x:v>
      </x:c>
      <x:c r="B399" s="10" t="str">
        <x:v>hexamerin-like</x:v>
      </x:c>
      <x:c r="C399" s="10" t="str">
        <x:v>protein_coding</x:v>
      </x:c>
      <x:c r="D399" s="10" t="str">
        <x:v>Protein synthesis / storage</x:v>
      </x:c>
      <x:c r="E399" s="10" t="str">
        <x:v>infection_average_all_diets; infection_diet50</x:v>
      </x:c>
      <x:c r="F399" s="10" t="n">
        <x:v>4.17134343073979</x:v>
      </x:c>
      <x:c r="G399" s="10" t="n">
        <x:v>0.0000627899290553372</x:v>
      </x:c>
      <x:c r="H399" s="10" t="n">
        <x:v>19437.1170514645</x:v>
      </x:c>
      <x:c r="I399" s="15" t="b">
        <x:v>0</x:v>
      </x:c>
    </x:row>
    <x:row r="400">
      <x:c r="A400" s="10" t="str">
        <x:v>LOC126336742</x:v>
      </x:c>
      <x:c r="B400" s="10" t="str">
        <x:v>uncharacterized LOC126336742</x:v>
      </x:c>
      <x:c r="C400" s="10" t="str">
        <x:v>protein_coding</x:v>
      </x:c>
      <x:c r="D400" s="10" t="str">
        <x:v>Protein synthesis / storage</x:v>
      </x:c>
      <x:c r="E400" s="10" t="str">
        <x:v>infected_diet33_vs50; infection_diet50</x:v>
      </x:c>
      <x:c r="F400" s="10" t="n">
        <x:v>6.61284104143029</x:v>
      </x:c>
      <x:c r="G400" s="10" t="n">
        <x:v>0.0023531450887956</x:v>
      </x:c>
      <x:c r="H400" s="10" t="n">
        <x:v>22.9092159912388</x:v>
      </x:c>
      <x:c r="I400" s="15" t="b">
        <x:v>0</x:v>
      </x:c>
    </x:row>
    <x:row r="401">
      <x:c r="A401" s="10" t="str">
        <x:v>LOC126336833</x:v>
      </x:c>
      <x:c r="B401" s="10" t="str">
        <x:v>translation initiation factor IF-2-like</x:v>
      </x:c>
      <x:c r="C401" s="10" t="str">
        <x:v>protein_coding</x:v>
      </x:c>
      <x:c r="D401" s="10" t="str">
        <x:v>Protein synthesis / storage</x:v>
      </x:c>
      <x:c r="E401" s="10" t="str">
        <x:v>infection_average_all_diets; infection_diet33</x:v>
      </x:c>
      <x:c r="F401" s="10" t="n">
        <x:v>1.74777144909563</x:v>
      </x:c>
      <x:c r="G401" s="10" t="n">
        <x:v>0.0088934545113074</x:v>
      </x:c>
      <x:c r="H401" s="10" t="n">
        <x:v>9.88295186409758</x:v>
      </x:c>
      <x:c r="I401" s="15" t="b">
        <x:v>0</x:v>
      </x:c>
    </x:row>
    <x:row r="402">
      <x:c r="A402" s="10" t="str">
        <x:v>LOC126351946</x:v>
      </x:c>
      <x:c r="B402" s="10" t="str">
        <x:v>translation initiation factor IF-2</x:v>
      </x:c>
      <x:c r="C402" s="10" t="str">
        <x:v>protein_coding</x:v>
      </x:c>
      <x:c r="D402" s="10" t="str">
        <x:v>Protein synthesis / storage</x:v>
      </x:c>
      <x:c r="E402" s="10" t="str">
        <x:v>infection_average_all_diets; infection_diet50</x:v>
      </x:c>
      <x:c r="F402" s="10" t="n">
        <x:v>1.55299366951548</x:v>
      </x:c>
      <x:c r="G402" s="10" t="n">
        <x:v>0.0028989672295424</x:v>
      </x:c>
      <x:c r="H402" s="10" t="n">
        <x:v>125.900066305734</x:v>
      </x:c>
      <x:c r="I402" s="15" t="b">
        <x:v>0</x:v>
      </x:c>
    </x:row>
    <x:row r="403">
      <x:c r="A403" s="10" t="str">
        <x:v>LOC126354648</x:v>
      </x:c>
      <x:c r="B403" s="10" t="str">
        <x:v>40S ribosomal protein S2</x:v>
      </x:c>
      <x:c r="C403" s="10" t="str">
        <x:v>protein_coding</x:v>
      </x:c>
      <x:c r="D403" s="10" t="str">
        <x:v>Protein synthesis / storage</x:v>
      </x:c>
      <x:c r="E403" s="10" t="str">
        <x:v>infection_average_all_diets</x:v>
      </x:c>
      <x:c r="F403" s="10" t="n">
        <x:v>1.08479439308531</x:v>
      </x:c>
      <x:c r="G403" s="10" t="n">
        <x:v>0.0016559087229891</x:v>
      </x:c>
      <x:c r="H403" s="10" t="n">
        <x:v>42.3139168659284</x:v>
      </x:c>
      <x:c r="I403" s="1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f439e579c34d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8" hidden="0" customWidth="1"/>
    <x:col min="10" max="10" width="18" hidden="0" customWidth="1"/>
  </x:cols>
  <x:sheetData>
    <x:row r="1" ht="34" customHeight="1">
      <x:c r="A1" s="6" t="str">
        <x:v>Gene ID</x:v>
      </x:c>
      <x:c r="B1" s="6" t="str">
        <x:v>Description</x:v>
      </x:c>
      <x:c r="C1" s="6" t="str">
        <x:v>Preferred name</x:v>
      </x:c>
      <x:c r="D1" s="6" t="str">
        <x:v>Heatmap selection</x:v>
      </x:c>
      <x:c r="E1" s="6" t="str">
        <x:v>Functional theme</x:v>
      </x:c>
      <x:c r="F1" s="6" t="str">
        <x:v>DEG class</x:v>
      </x:c>
      <x:c r="G1" s="6" t="str">
        <x:v>DEG diets</x:v>
      </x:c>
      <x:c r="H1" s="6" t="str">
        <x:v>Direction summary</x:v>
      </x:c>
      <x:c r="I1" s="17" t="str">
        <x:v>Minimum adjusted P</x:v>
      </x:c>
      <x:c r="J1" s="16" t="str">
        <x:v>Maximum |log2FC|</x:v>
      </x:c>
    </x:row>
    <x:row r="2">
      <x:c r="A2" s="10" t="str">
        <x:v>LOC126266714</x:v>
      </x:c>
      <x:c r="B2" s="10" t="str">
        <x:v>Insect allergen related repeat, nitrile-specifier detoxification</x:v>
      </x:c>
      <x:c r="C2" s="10" t="str">
        <x:v>-</x:v>
      </x:c>
      <x:c r="D2" s="10" t="str">
        <x:v>Functional candidate</x:v>
      </x:c>
      <x:c r="E2" s="10" t="str">
        <x:v>Detoxification/stress</x:v>
      </x:c>
      <x:c r="F2" s="10" t="str">
        <x:v>DEG</x:v>
      </x:c>
      <x:c r="G2" s="10" t="str">
        <x:v>50</x:v>
      </x:c>
      <x:c r="H2" s="10" t="str">
        <x:v>Higher in control</x:v>
      </x:c>
      <x:c r="I2" s="10" t="n">
        <x:v>0.0001302222706985</x:v>
      </x:c>
      <x:c r="J2" s="10" t="n">
        <x:v>3.1541909535135</x:v>
      </x:c>
    </x:row>
    <x:row r="3">
      <x:c r="A3" s="10" t="str">
        <x:v>LOC126266726</x:v>
      </x:c>
      <x:c r="B3" s="10" t="str">
        <x:v>Cytochrome P450</x:v>
      </x:c>
      <x:c r="C3" s="10" t="str">
        <x:v>-</x:v>
      </x:c>
      <x:c r="D3" s="10" t="str">
        <x:v>Functional candidate</x:v>
      </x:c>
      <x:c r="E3" s="10" t="str">
        <x:v>Detoxification/stress</x:v>
      </x:c>
      <x:c r="F3" s="10" t="str">
        <x:v>Not DEG</x:v>
      </x:c>
      <x:c r="G3" s="10" t="str"/>
      <x:c r="H3" s="10" t="str"/>
      <x:c r="I3" s="10" t="str"/>
      <x:c r="J3" s="10" t="n">
        <x:v>0</x:v>
      </x:c>
    </x:row>
    <x:row r="4">
      <x:c r="A4" s="10" t="str">
        <x:v>LOC126267421</x:v>
      </x:c>
      <x:c r="B4" s="10" t="str">
        <x:v>Cytochrome P450</x:v>
      </x:c>
      <x:c r="C4" s="10" t="str">
        <x:v>-</x:v>
      </x:c>
      <x:c r="D4" s="10" t="str">
        <x:v>Functional candidate</x:v>
      </x:c>
      <x:c r="E4" s="10" t="str">
        <x:v>Detoxification/stress</x:v>
      </x:c>
      <x:c r="F4" s="10" t="str">
        <x:v>Not DEG</x:v>
      </x:c>
      <x:c r="G4" s="10" t="str"/>
      <x:c r="H4" s="10" t="str"/>
      <x:c r="I4" s="10" t="str"/>
      <x:c r="J4" s="10" t="n">
        <x:v>0</x:v>
      </x:c>
    </x:row>
    <x:row r="5">
      <x:c r="A5" s="10" t="str">
        <x:v>LOC126268099</x:v>
      </x:c>
      <x:c r="B5" s="10" t="str">
        <x:v>cytochrome P450</x:v>
      </x:c>
      <x:c r="C5" s="10" t="str">
        <x:v>-</x:v>
      </x:c>
      <x:c r="D5" s="10" t="str">
        <x:v>Functional candidate</x:v>
      </x:c>
      <x:c r="E5" s="10" t="str">
        <x:v>Detoxification/stress</x:v>
      </x:c>
      <x:c r="F5" s="10" t="str">
        <x:v>DEG</x:v>
      </x:c>
      <x:c r="G5" s="10" t="str">
        <x:v>83</x:v>
      </x:c>
      <x:c r="H5" s="10" t="str">
        <x:v>Higher in infected</x:v>
      </x:c>
      <x:c r="I5" s="10" t="n">
        <x:v>0.0002033654506857</x:v>
      </x:c>
      <x:c r="J5" s="10" t="n">
        <x:v>2.57191095490751</x:v>
      </x:c>
    </x:row>
    <x:row r="6">
      <x:c r="A6" s="10" t="str">
        <x:v>LOC126272143</x:v>
      </x:c>
      <x:c r="B6" s="10" t="str">
        <x:v>cytochrome p450</x:v>
      </x:c>
      <x:c r="C6" s="10" t="str">
        <x:v>-</x:v>
      </x:c>
      <x:c r="D6" s="10" t="str">
        <x:v>Functional candidate</x:v>
      </x:c>
      <x:c r="E6" s="10" t="str">
        <x:v>Detoxification/stress</x:v>
      </x:c>
      <x:c r="F6" s="10" t="str">
        <x:v>Not DEG</x:v>
      </x:c>
      <x:c r="G6" s="10" t="str"/>
      <x:c r="H6" s="10" t="str"/>
      <x:c r="I6" s="10" t="str"/>
      <x:c r="J6" s="10" t="n">
        <x:v>0</x:v>
      </x:c>
    </x:row>
    <x:row r="7">
      <x:c r="A7" s="10" t="str">
        <x:v>LOC126272144</x:v>
      </x:c>
      <x:c r="B7" s="10" t="str">
        <x:v>cytochrome p450</x:v>
      </x:c>
      <x:c r="C7" s="10" t="str">
        <x:v>-</x:v>
      </x:c>
      <x:c r="D7" s="10" t="str">
        <x:v>Functional candidate</x:v>
      </x:c>
      <x:c r="E7" s="10" t="str">
        <x:v>Detoxification/stress</x:v>
      </x:c>
      <x:c r="F7" s="10" t="str">
        <x:v>DEG</x:v>
      </x:c>
      <x:c r="G7" s="10" t="str">
        <x:v>33</x:v>
      </x:c>
      <x:c r="H7" s="10" t="str">
        <x:v>Higher in infected</x:v>
      </x:c>
      <x:c r="I7" s="10" t="n">
        <x:v>0.0000070661956195675</x:v>
      </x:c>
      <x:c r="J7" s="10" t="n">
        <x:v>2.66626528927524</x:v>
      </x:c>
    </x:row>
    <x:row r="8">
      <x:c r="A8" s="10" t="str">
        <x:v>LOC126272273</x:v>
      </x:c>
      <x:c r="B8" s="10" t="str">
        <x:v>cytochrome p450</x:v>
      </x:c>
      <x:c r="C8" s="10" t="str">
        <x:v>-</x:v>
      </x:c>
      <x:c r="D8" s="10" t="str">
        <x:v>Functional candidate</x:v>
      </x:c>
      <x:c r="E8" s="10" t="str">
        <x:v>Detoxification/stress</x:v>
      </x:c>
      <x:c r="F8" s="10" t="str">
        <x:v>DEG</x:v>
      </x:c>
      <x:c r="G8" s="10" t="str">
        <x:v>50</x:v>
      </x:c>
      <x:c r="H8" s="10" t="str">
        <x:v>Higher in control</x:v>
      </x:c>
      <x:c r="I8" s="10" t="n">
        <x:v>0.001997514706583</x:v>
      </x:c>
      <x:c r="J8" s="10" t="n">
        <x:v>3.23719665495179</x:v>
      </x:c>
    </x:row>
    <x:row r="9">
      <x:c r="A9" s="10" t="str">
        <x:v>LOC126272684</x:v>
      </x:c>
      <x:c r="B9" s="10" t="str">
        <x:v>cytochrome P450</x:v>
      </x:c>
      <x:c r="C9" s="10" t="str">
        <x:v>-</x:v>
      </x:c>
      <x:c r="D9" s="10" t="str">
        <x:v>Functional candidate</x:v>
      </x:c>
      <x:c r="E9" s="10" t="str">
        <x:v>Detoxification/stress</x:v>
      </x:c>
      <x:c r="F9" s="10" t="str">
        <x:v>Not DEG</x:v>
      </x:c>
      <x:c r="G9" s="10" t="str"/>
      <x:c r="H9" s="10" t="str"/>
      <x:c r="I9" s="10" t="str"/>
      <x:c r="J9" s="10" t="n">
        <x:v>0</x:v>
      </x:c>
    </x:row>
    <x:row r="10">
      <x:c r="A10" s="10" t="str">
        <x:v>LOC126272724</x:v>
      </x:c>
      <x:c r="B10" s="10" t="str">
        <x:v>Glutathione transferase activity. It is involved in the biological process described with metabolic process</x:v>
      </x:c>
      <x:c r="C10" s="10" t="str">
        <x:v>GstO2</x:v>
      </x:c>
      <x:c r="D10" s="10" t="str">
        <x:v>Functional candidate</x:v>
      </x:c>
      <x:c r="E10" s="10" t="str">
        <x:v>Detoxification/stress</x:v>
      </x:c>
      <x:c r="F10" s="10" t="str">
        <x:v>DEG</x:v>
      </x:c>
      <x:c r="G10" s="10" t="str">
        <x:v>33, 50, 83</x:v>
      </x:c>
      <x:c r="H10" s="10" t="str">
        <x:v>Higher in infected</x:v>
      </x:c>
      <x:c r="I10" s="10" t="n">
        <x:v>0.0000271443322005713</x:v>
      </x:c>
      <x:c r="J10" s="10" t="n">
        <x:v>2.32328808681557</x:v>
      </x:c>
    </x:row>
    <x:row r="11">
      <x:c r="A11" s="10" t="str">
        <x:v>LOC126272799</x:v>
      </x:c>
      <x:c r="B11" s="10" t="str">
        <x:v>cytochrome p450</x:v>
      </x:c>
      <x:c r="C11" s="10" t="str">
        <x:v>-</x:v>
      </x:c>
      <x:c r="D11" s="10" t="str">
        <x:v>Functional candidate</x:v>
      </x:c>
      <x:c r="E11" s="10" t="str">
        <x:v>Detoxification/stress</x:v>
      </x:c>
      <x:c r="F11" s="10" t="str">
        <x:v>Not DEG</x:v>
      </x:c>
      <x:c r="G11" s="10" t="str"/>
      <x:c r="H11" s="10" t="str"/>
      <x:c r="I11" s="10" t="str"/>
      <x:c r="J11" s="10" t="n">
        <x:v>0</x:v>
      </x:c>
    </x:row>
    <x:row r="12">
      <x:c r="A12" s="10" t="str">
        <x:v>LOC126272823</x:v>
      </x:c>
      <x:c r="B12" s="10" t="str">
        <x:v>heme binding. It is involved in the biological process described with oxidation-reduction process</x:v>
      </x:c>
      <x:c r="C12" s="10" t="str">
        <x:v>-</x:v>
      </x:c>
      <x:c r="D12" s="10" t="str">
        <x:v>Functional candidate</x:v>
      </x:c>
      <x:c r="E12" s="10" t="str">
        <x:v>Detoxification/stress</x:v>
      </x:c>
      <x:c r="F12" s="10" t="str">
        <x:v>Not DEG</x:v>
      </x:c>
      <x:c r="G12" s="10" t="str"/>
      <x:c r="H12" s="10" t="str"/>
      <x:c r="I12" s="10" t="str"/>
      <x:c r="J12" s="10" t="n">
        <x:v>0</x:v>
      </x:c>
    </x:row>
    <x:row r="13">
      <x:c r="A13" s="10" t="str">
        <x:v>LOC126272837</x:v>
      </x:c>
      <x:c r="B13" s="10" t="str">
        <x:v>heme binding. It is involved in the biological process described with oxidation-reduction process</x:v>
      </x:c>
      <x:c r="C13" s="10" t="str">
        <x:v>-</x:v>
      </x:c>
      <x:c r="D13" s="10" t="str">
        <x:v>Functional candidate</x:v>
      </x:c>
      <x:c r="E13" s="10" t="str">
        <x:v>Detoxification/stress</x:v>
      </x:c>
      <x:c r="F13" s="10" t="str">
        <x:v>DEG</x:v>
      </x:c>
      <x:c r="G13" s="10" t="str">
        <x:v>33</x:v>
      </x:c>
      <x:c r="H13" s="10" t="str">
        <x:v>Higher in infected</x:v>
      </x:c>
      <x:c r="I13" s="10" t="n">
        <x:v>0.0027165207178674</x:v>
      </x:c>
      <x:c r="J13" s="10" t="n">
        <x:v>3.37687960601764</x:v>
      </x:c>
    </x:row>
    <x:row r="14">
      <x:c r="A14" s="10" t="str">
        <x:v>LOC126273117</x:v>
      </x:c>
      <x:c r="B14" s="10" t="str">
        <x:v>heme binding. It is involved in the biological process described with oxidation-reduction process</x:v>
      </x:c>
      <x:c r="C14" s="10" t="str">
        <x:v>-</x:v>
      </x:c>
      <x:c r="D14" s="10" t="str">
        <x:v>Functional candidate</x:v>
      </x:c>
      <x:c r="E14" s="10" t="str">
        <x:v>Detoxification/stress</x:v>
      </x:c>
      <x:c r="F14" s="10" t="str">
        <x:v>Not DEG</x:v>
      </x:c>
      <x:c r="G14" s="10" t="str"/>
      <x:c r="H14" s="10" t="str"/>
      <x:c r="I14" s="10" t="str"/>
      <x:c r="J14" s="10" t="n">
        <x:v>0</x:v>
      </x:c>
    </x:row>
    <x:row r="15">
      <x:c r="A15" s="10" t="str">
        <x:v>LOC126278867</x:v>
      </x:c>
      <x:c r="B15" s="10" t="str">
        <x:v>cytochrome p450</x:v>
      </x:c>
      <x:c r="C15" s="10" t="str">
        <x:v>-</x:v>
      </x:c>
      <x:c r="D15" s="10" t="str">
        <x:v>Functional candidate</x:v>
      </x:c>
      <x:c r="E15" s="10" t="str">
        <x:v>Detoxification/stress</x:v>
      </x:c>
      <x:c r="F15" s="10" t="str">
        <x:v>DEG</x:v>
      </x:c>
      <x:c r="G15" s="10" t="str">
        <x:v>50</x:v>
      </x:c>
      <x:c r="H15" s="10" t="str">
        <x:v>Higher in infected</x:v>
      </x:c>
      <x:c r="I15" s="10" t="n">
        <x:v>0.0001987100590687</x:v>
      </x:c>
      <x:c r="J15" s="10" t="n">
        <x:v>1.36826907908158</x:v>
      </x:c>
    </x:row>
    <x:row r="16">
      <x:c r="A16" s="10" t="str">
        <x:v>LOC126281410</x:v>
      </x:c>
      <x:c r="B16" s="10" t="str">
        <x:v>Glutathione S-transferase, N-terminal domain</x:v>
      </x:c>
      <x:c r="C16" s="10" t="str">
        <x:v>-</x:v>
      </x:c>
      <x:c r="D16" s="10" t="str">
        <x:v>Functional candidate</x:v>
      </x:c>
      <x:c r="E16" s="10" t="str">
        <x:v>Detoxification/stress</x:v>
      </x:c>
      <x:c r="F16" s="10" t="str">
        <x:v>DEG</x:v>
      </x:c>
      <x:c r="G16" s="10" t="str">
        <x:v>33, 50, 83</x:v>
      </x:c>
      <x:c r="H16" s="10" t="str">
        <x:v>Higher in infected</x:v>
      </x:c>
      <x:c r="I16" s="10" t="n">
        <x:v>5.85677354431639e-10</x:v>
      </x:c>
      <x:c r="J16" s="10" t="n">
        <x:v>4.73254700399449</x:v>
      </x:c>
    </x:row>
    <x:row r="17">
      <x:c r="A17" s="10" t="str">
        <x:v>LOC126281928</x:v>
      </x:c>
      <x:c r="B17" s="10" t="str">
        <x:v>It is involved in the biological process described with</x:v>
      </x:c>
      <x:c r="C17" s="10" t="str">
        <x:v>-</x:v>
      </x:c>
      <x:c r="D17" s="10" t="str">
        <x:v>Functional candidate</x:v>
      </x:c>
      <x:c r="E17" s="10" t="str">
        <x:v>Detoxification/stress</x:v>
      </x:c>
      <x:c r="F17" s="10" t="str">
        <x:v>Not DEG</x:v>
      </x:c>
      <x:c r="G17" s="10" t="str"/>
      <x:c r="H17" s="10" t="str"/>
      <x:c r="I17" s="10" t="str"/>
      <x:c r="J17" s="10" t="n">
        <x:v>0</x:v>
      </x:c>
    </x:row>
    <x:row r="18">
      <x:c r="A18" s="10" t="str">
        <x:v>LOC126281935</x:v>
      </x:c>
      <x:c r="B18" s="10" t="str">
        <x:v>heme binding. It is involved in the biological process described with oxidation-reduction process</x:v>
      </x:c>
      <x:c r="C18" s="10" t="str">
        <x:v>-</x:v>
      </x:c>
      <x:c r="D18" s="10" t="str">
        <x:v>Functional candidate</x:v>
      </x:c>
      <x:c r="E18" s="10" t="str">
        <x:v>Detoxification/stress</x:v>
      </x:c>
      <x:c r="F18" s="10" t="str">
        <x:v>DEG</x:v>
      </x:c>
      <x:c r="G18" s="10" t="str">
        <x:v>83</x:v>
      </x:c>
      <x:c r="H18" s="10" t="str">
        <x:v>Higher in control</x:v>
      </x:c>
      <x:c r="I18" s="10" t="n">
        <x:v>0.0029220375155091</x:v>
      </x:c>
      <x:c r="J18" s="10" t="n">
        <x:v>1.98784312346998</x:v>
      </x:c>
    </x:row>
    <x:row r="19">
      <x:c r="A19" s="10" t="str">
        <x:v>LOC126282101</x:v>
      </x:c>
      <x:c r="B19" s="10" t="str">
        <x:v>Cytochrome P450</x:v>
      </x:c>
      <x:c r="C19" s="10" t="str">
        <x:v>-</x:v>
      </x:c>
      <x:c r="D19" s="10" t="str">
        <x:v>Functional candidate</x:v>
      </x:c>
      <x:c r="E19" s="10" t="str">
        <x:v>Detoxification/stress</x:v>
      </x:c>
      <x:c r="F19" s="10" t="str">
        <x:v>Not DEG</x:v>
      </x:c>
      <x:c r="G19" s="10" t="str"/>
      <x:c r="H19" s="10" t="str"/>
      <x:c r="I19" s="10" t="str"/>
      <x:c r="J19" s="10" t="n">
        <x:v>0</x:v>
      </x:c>
    </x:row>
    <x:row r="20">
      <x:c r="A20" s="10" t="str">
        <x:v>LOC126284254</x:v>
      </x:c>
      <x:c r="B20" s="10" t="str">
        <x:v>heme binding. It is involved in the biological process described with oxidation-reduction process</x:v>
      </x:c>
      <x:c r="C20" s="10" t="str">
        <x:v>-</x:v>
      </x:c>
      <x:c r="D20" s="10" t="str">
        <x:v>Functional candidate</x:v>
      </x:c>
      <x:c r="E20" s="10" t="str">
        <x:v>Detoxification/stress</x:v>
      </x:c>
      <x:c r="F20" s="10" t="str">
        <x:v>Not DEG</x:v>
      </x:c>
      <x:c r="G20" s="10" t="str"/>
      <x:c r="H20" s="10" t="str"/>
      <x:c r="I20" s="10" t="str"/>
      <x:c r="J20" s="10" t="n">
        <x:v>0</x:v>
      </x:c>
    </x:row>
    <x:row r="21">
      <x:c r="A21" s="10" t="str">
        <x:v>LOC126293326</x:v>
      </x:c>
      <x:c r="B21" s="10" t="str">
        <x:v>heme binding. It is involved in the biological process described with response to oxidative stress</x:v>
      </x:c>
      <x:c r="C21" s="10" t="str">
        <x:v>-</x:v>
      </x:c>
      <x:c r="D21" s="10" t="str">
        <x:v>Functional candidate</x:v>
      </x:c>
      <x:c r="E21" s="10" t="str">
        <x:v>Detoxification/stress</x:v>
      </x:c>
      <x:c r="F21" s="10" t="str">
        <x:v>DEG</x:v>
      </x:c>
      <x:c r="G21" s="10" t="str">
        <x:v>50, 83</x:v>
      </x:c>
      <x:c r="H21" s="10" t="str">
        <x:v>Higher in infected</x:v>
      </x:c>
      <x:c r="I21" s="10" t="n">
        <x:v>0.00000122410438739022</x:v>
      </x:c>
      <x:c r="J21" s="10" t="n">
        <x:v>2.83662365771751</x:v>
      </x:c>
    </x:row>
    <x:row r="22">
      <x:c r="A22" s="10" t="str">
        <x:v>LOC126299150</x:v>
      </x:c>
      <x:c r="B22" s="10" t="str">
        <x:v>heme binding. It is involved in the biological process described with oxidation-reduction process</x:v>
      </x:c>
      <x:c r="C22" s="10" t="str">
        <x:v>Cyp314a1</x:v>
      </x:c>
      <x:c r="D22" s="10" t="str">
        <x:v>Functional candidate</x:v>
      </x:c>
      <x:c r="E22" s="10" t="str">
        <x:v>Detoxification/stress</x:v>
      </x:c>
      <x:c r="F22" s="10" t="str">
        <x:v>DEG</x:v>
      </x:c>
      <x:c r="G22" s="10" t="str">
        <x:v>33, 50</x:v>
      </x:c>
      <x:c r="H22" s="10" t="str">
        <x:v>Higher in control</x:v>
      </x:c>
      <x:c r="I22" s="10" t="n">
        <x:v>0.0000108894942259052</x:v>
      </x:c>
      <x:c r="J22" s="10" t="n">
        <x:v>2.51704906744662</x:v>
      </x:c>
    </x:row>
    <x:row r="23">
      <x:c r="A23" s="10" t="str">
        <x:v>LOC126305900</x:v>
      </x:c>
      <x:c r="B23" s="10" t="str">
        <x:v>heme binding. It is involved in the biological process described with oxidation-reduction process</x:v>
      </x:c>
      <x:c r="C23" s="10" t="str">
        <x:v>CYP306A1</x:v>
      </x:c>
      <x:c r="D23" s="10" t="str">
        <x:v>Functional candidate</x:v>
      </x:c>
      <x:c r="E23" s="10" t="str">
        <x:v>Detoxification/stress</x:v>
      </x:c>
      <x:c r="F23" s="10" t="str">
        <x:v>DEG</x:v>
      </x:c>
      <x:c r="G23" s="10" t="str">
        <x:v>33, 50</x:v>
      </x:c>
      <x:c r="H23" s="10" t="str">
        <x:v>Higher in control</x:v>
      </x:c>
      <x:c r="I23" s="10" t="n">
        <x:v>0.0013042987586929</x:v>
      </x:c>
      <x:c r="J23" s="10" t="n">
        <x:v>1.79590885663813</x:v>
      </x:c>
    </x:row>
    <x:row r="24">
      <x:c r="A24" s="10" t="str">
        <x:v>LOC126320178</x:v>
      </x:c>
      <x:c r="B24" s="10" t="str">
        <x:v>heme binding. It is involved in the biological process described with oxidation-reduction process</x:v>
      </x:c>
      <x:c r="C24" s="10" t="str">
        <x:v>CYP315A1</x:v>
      </x:c>
      <x:c r="D24" s="10" t="str">
        <x:v>Functional candidate</x:v>
      </x:c>
      <x:c r="E24" s="10" t="str">
        <x:v>Detoxification/stress</x:v>
      </x:c>
      <x:c r="F24" s="10" t="str">
        <x:v>DEG</x:v>
      </x:c>
      <x:c r="G24" s="10" t="str">
        <x:v>50</x:v>
      </x:c>
      <x:c r="H24" s="10" t="str">
        <x:v>Higher in control</x:v>
      </x:c>
      <x:c r="I24" s="10" t="n">
        <x:v>0.0002019947907982</x:v>
      </x:c>
      <x:c r="J24" s="10" t="n">
        <x:v>2.05768982367583</x:v>
      </x:c>
    </x:row>
    <x:row r="25">
      <x:c r="A25" s="10" t="str">
        <x:v>LOC126335581</x:v>
      </x:c>
      <x:c r="B25" s="10" t="str">
        <x:v>Cytochrome P-450</x:v>
      </x:c>
      <x:c r="C25" s="10" t="str">
        <x:v>-</x:v>
      </x:c>
      <x:c r="D25" s="10" t="str">
        <x:v>Functional candidate</x:v>
      </x:c>
      <x:c r="E25" s="10" t="str">
        <x:v>Detoxification/stress</x:v>
      </x:c>
      <x:c r="F25" s="10" t="str">
        <x:v>Not DEG</x:v>
      </x:c>
      <x:c r="G25" s="10" t="str"/>
      <x:c r="H25" s="10" t="str"/>
      <x:c r="I25" s="10" t="str"/>
      <x:c r="J25" s="10" t="n">
        <x:v>0</x:v>
      </x:c>
    </x:row>
    <x:row r="26">
      <x:c r="A26" s="10" t="str">
        <x:v>LOC126336695</x:v>
      </x:c>
      <x:c r="B26" s="10" t="str">
        <x:v>Glutathione S-transferase, C-terminal domain</x:v>
      </x:c>
      <x:c r="C26" s="10" t="str">
        <x:v>-</x:v>
      </x:c>
      <x:c r="D26" s="10" t="str">
        <x:v>Functional candidate</x:v>
      </x:c>
      <x:c r="E26" s="10" t="str">
        <x:v>Detoxification/stress</x:v>
      </x:c>
      <x:c r="F26" s="10" t="str">
        <x:v>DEG</x:v>
      </x:c>
      <x:c r="G26" s="10" t="str">
        <x:v>33, 50, 83</x:v>
      </x:c>
      <x:c r="H26" s="10" t="str">
        <x:v>Higher in control</x:v>
      </x:c>
      <x:c r="I26" s="10" t="n">
        <x:v>0.0000500268164111425</x:v>
      </x:c>
      <x:c r="J26" s="10" t="n">
        <x:v>1.67996590290992</x:v>
      </x:c>
    </x:row>
    <x:row r="27">
      <x:c r="A27" s="10" t="str">
        <x:v>LOC126336713</x:v>
      </x:c>
      <x:c r="B27" s="10" t="str">
        <x:v>Glutathione S-transferase, N-terminal domain</x:v>
      </x:c>
      <x:c r="C27" s="10" t="str">
        <x:v>GstD1</x:v>
      </x:c>
      <x:c r="D27" s="10" t="str">
        <x:v>Functional candidate</x:v>
      </x:c>
      <x:c r="E27" s="10" t="str">
        <x:v>Detoxification/stress</x:v>
      </x:c>
      <x:c r="F27" s="10" t="str">
        <x:v>Not DEG</x:v>
      </x:c>
      <x:c r="G27" s="10" t="str"/>
      <x:c r="H27" s="10" t="str"/>
      <x:c r="I27" s="10" t="str"/>
      <x:c r="J27" s="10" t="n">
        <x:v>0</x:v>
      </x:c>
    </x:row>
    <x:row r="28">
      <x:c r="A28" s="10" t="str">
        <x:v>LOC126336715</x:v>
      </x:c>
      <x:c r="B28" s="10" t="str">
        <x:v>Glutathione S-transferase, N-terminal domain</x:v>
      </x:c>
      <x:c r="C28" s="10" t="str">
        <x:v>GstD1</x:v>
      </x:c>
      <x:c r="D28" s="10" t="str">
        <x:v>Functional candidate</x:v>
      </x:c>
      <x:c r="E28" s="10" t="str">
        <x:v>Detoxification/stress</x:v>
      </x:c>
      <x:c r="F28" s="10" t="str">
        <x:v>Not DEG</x:v>
      </x:c>
      <x:c r="G28" s="10" t="str"/>
      <x:c r="H28" s="10" t="str"/>
      <x:c r="I28" s="10" t="str"/>
      <x:c r="J28" s="10" t="n">
        <x:v>0</x:v>
      </x:c>
    </x:row>
    <x:row r="29">
      <x:c r="A29" s="10" t="str">
        <x:v>LOC126336724</x:v>
      </x:c>
      <x:c r="B29" s="10" t="str">
        <x:v>Glutathione S-transferase, C-terminal domain</x:v>
      </x:c>
      <x:c r="C29" s="10" t="str">
        <x:v>-</x:v>
      </x:c>
      <x:c r="D29" s="10" t="str">
        <x:v>Functional candidate</x:v>
      </x:c>
      <x:c r="E29" s="10" t="str">
        <x:v>Detoxification/stress</x:v>
      </x:c>
      <x:c r="F29" s="10" t="str">
        <x:v>Not DEG</x:v>
      </x:c>
      <x:c r="G29" s="10" t="str"/>
      <x:c r="H29" s="10" t="str"/>
      <x:c r="I29" s="10" t="str"/>
      <x:c r="J29" s="10" t="n">
        <x:v>0</x:v>
      </x:c>
    </x:row>
    <x:row r="30">
      <x:c r="A30" s="10" t="str">
        <x:v>LOC126336726</x:v>
      </x:c>
      <x:c r="B30" s="10" t="str">
        <x:v>glutathione s-transferase</x:v>
      </x:c>
      <x:c r="C30" s="10" t="str">
        <x:v>-</x:v>
      </x:c>
      <x:c r="D30" s="10" t="str">
        <x:v>Functional candidate</x:v>
      </x:c>
      <x:c r="E30" s="10" t="str">
        <x:v>Detoxification/stress</x:v>
      </x:c>
      <x:c r="F30" s="10" t="str">
        <x:v>Not DEG</x:v>
      </x:c>
      <x:c r="G30" s="10" t="str"/>
      <x:c r="H30" s="10" t="str"/>
      <x:c r="I30" s="10" t="str"/>
      <x:c r="J30" s="10" t="n">
        <x:v>0</x:v>
      </x:c>
    </x:row>
    <x:row r="31">
      <x:c r="A31" s="10" t="str">
        <x:v>LOC126336730</x:v>
      </x:c>
      <x:c r="B31" s="10" t="str">
        <x:v>Glutathione S-transferase, C-terminal domain</x:v>
      </x:c>
      <x:c r="C31" s="10" t="str">
        <x:v>-</x:v>
      </x:c>
      <x:c r="D31" s="10" t="str">
        <x:v>Functional candidate</x:v>
      </x:c>
      <x:c r="E31" s="10" t="str">
        <x:v>Detoxification/stress</x:v>
      </x:c>
      <x:c r="F31" s="10" t="str">
        <x:v>DEG</x:v>
      </x:c>
      <x:c r="G31" s="10" t="str">
        <x:v>33, 50</x:v>
      </x:c>
      <x:c r="H31" s="10" t="str">
        <x:v>Higher in infected</x:v>
      </x:c>
      <x:c r="I31" s="10" t="n">
        <x:v>0.0005430816308088</x:v>
      </x:c>
      <x:c r="J31" s="10" t="n">
        <x:v>1.84383457315316</x:v>
      </x:c>
    </x:row>
    <x:row r="32">
      <x:c r="A32" s="10" t="str">
        <x:v>LOC126336735</x:v>
      </x:c>
      <x:c r="B32" s="10" t="str">
        <x:v>glutathione s-transferase</x:v>
      </x:c>
      <x:c r="C32" s="10" t="str">
        <x:v>-</x:v>
      </x:c>
      <x:c r="D32" s="10" t="str">
        <x:v>Functional candidate</x:v>
      </x:c>
      <x:c r="E32" s="10" t="str">
        <x:v>Detoxification/stress</x:v>
      </x:c>
      <x:c r="F32" s="10" t="str">
        <x:v>DEG</x:v>
      </x:c>
      <x:c r="G32" s="10" t="str">
        <x:v>33, 50</x:v>
      </x:c>
      <x:c r="H32" s="10" t="str">
        <x:v>Higher in control</x:v>
      </x:c>
      <x:c r="I32" s="10" t="n">
        <x:v>0.0007434489309519</x:v>
      </x:c>
      <x:c r="J32" s="10" t="n">
        <x:v>3.2299825520689</x:v>
      </x:c>
    </x:row>
    <x:row r="33">
      <x:c r="A33" s="10" t="str">
        <x:v>LOC126336888</x:v>
      </x:c>
      <x:c r="B33" s="10" t="str">
        <x:v>Glutathione S-transferase, N-terminal domain</x:v>
      </x:c>
      <x:c r="C33" s="10" t="str">
        <x:v>-</x:v>
      </x:c>
      <x:c r="D33" s="10" t="str">
        <x:v>Functional candidate</x:v>
      </x:c>
      <x:c r="E33" s="10" t="str">
        <x:v>Detoxification/stress</x:v>
      </x:c>
      <x:c r="F33" s="10" t="str">
        <x:v>Not DEG</x:v>
      </x:c>
      <x:c r="G33" s="10" t="str"/>
      <x:c r="H33" s="10" t="str"/>
      <x:c r="I33" s="10" t="str"/>
      <x:c r="J33" s="10" t="n">
        <x:v>0</x:v>
      </x:c>
    </x:row>
    <x:row r="34">
      <x:c r="A34" s="10" t="str">
        <x:v>LOC126354172</x:v>
      </x:c>
      <x:c r="B34" s="10" t="str">
        <x:v>Cytochrome P450</x:v>
      </x:c>
      <x:c r="C34" s="10" t="str">
        <x:v>-</x:v>
      </x:c>
      <x:c r="D34" s="10" t="str">
        <x:v>Functional candidate</x:v>
      </x:c>
      <x:c r="E34" s="10" t="str">
        <x:v>Detoxification/stress</x:v>
      </x:c>
      <x:c r="F34" s="10" t="str">
        <x:v>DEG</x:v>
      </x:c>
      <x:c r="G34" s="10" t="str">
        <x:v>33</x:v>
      </x:c>
      <x:c r="H34" s="10" t="str">
        <x:v>Higher in control</x:v>
      </x:c>
      <x:c r="I34" s="10" t="n">
        <x:v>0.0012834254904327</x:v>
      </x:c>
      <x:c r="J34" s="10" t="n">
        <x:v>2.60236353992633</x:v>
      </x:c>
    </x:row>
    <x:row r="35">
      <x:c r="A35" s="10" t="str">
        <x:v>LOC126354206</x:v>
      </x:c>
      <x:c r="B35" s="10" t="str">
        <x:v>Cytochrome P450</x:v>
      </x:c>
      <x:c r="C35" s="10" t="str">
        <x:v>-</x:v>
      </x:c>
      <x:c r="D35" s="10" t="str">
        <x:v>Functional candidate</x:v>
      </x:c>
      <x:c r="E35" s="10" t="str">
        <x:v>Detoxification/stress</x:v>
      </x:c>
      <x:c r="F35" s="10" t="str">
        <x:v>Not DEG</x:v>
      </x:c>
      <x:c r="G35" s="10" t="str"/>
      <x:c r="H35" s="10" t="str"/>
      <x:c r="I35" s="10" t="str"/>
      <x:c r="J35" s="10" t="n">
        <x:v>0</x:v>
      </x:c>
    </x:row>
    <x:row r="36">
      <x:c r="A36" s="10" t="str">
        <x:v>LOC126354485</x:v>
      </x:c>
      <x:c r="B36" s="10" t="str">
        <x:v>Cytochrome P-450</x:v>
      </x:c>
      <x:c r="C36" s="10" t="str">
        <x:v>-</x:v>
      </x:c>
      <x:c r="D36" s="10" t="str">
        <x:v>Functional candidate</x:v>
      </x:c>
      <x:c r="E36" s="10" t="str">
        <x:v>Detoxification/stress</x:v>
      </x:c>
      <x:c r="F36" s="10" t="str">
        <x:v>DEG</x:v>
      </x:c>
      <x:c r="G36" s="10" t="str">
        <x:v>50</x:v>
      </x:c>
      <x:c r="H36" s="10" t="str">
        <x:v>Higher in infected</x:v>
      </x:c>
      <x:c r="I36" s="10" t="n">
        <x:v>0.0003541427562858</x:v>
      </x:c>
      <x:c r="J36" s="10" t="n">
        <x:v>2.6300470501557</x:v>
      </x:c>
    </x:row>
    <x:row r="37">
      <x:c r="A37" s="10" t="str">
        <x:v>LOC126365968</x:v>
      </x:c>
      <x:c r="B37" s="10" t="str">
        <x:v>Cytochrome P450</x:v>
      </x:c>
      <x:c r="C37" s="10" t="str">
        <x:v>-</x:v>
      </x:c>
      <x:c r="D37" s="10" t="str">
        <x:v>Functional candidate</x:v>
      </x:c>
      <x:c r="E37" s="10" t="str">
        <x:v>Detoxification/stress</x:v>
      </x:c>
      <x:c r="F37" s="10" t="str">
        <x:v>Not DEG</x:v>
      </x:c>
      <x:c r="G37" s="10" t="str"/>
      <x:c r="H37" s="10" t="str"/>
      <x:c r="I37" s="10" t="str"/>
      <x:c r="J37" s="10" t="n">
        <x:v>0</x:v>
      </x:c>
    </x:row>
    <x:row r="38">
      <x:c r="A38" s="10" t="str">
        <x:v>LOC126266759</x:v>
      </x:c>
      <x:c r="B38" s="10" t="str">
        <x:v>N-acetylmuramoyl-L-alanine amidase activity. It is involved in the biological process described with peptidoglycan catabolic process</x:v>
      </x:c>
      <x:c r="C38" s="10" t="str">
        <x:v>-</x:v>
      </x:c>
      <x:c r="D38" s="10" t="str">
        <x:v>Functional candidate</x:v>
      </x:c>
      <x:c r="E38" s="10" t="str">
        <x:v>Immune-related</x:v>
      </x:c>
      <x:c r="F38" s="10" t="str">
        <x:v>DEG</x:v>
      </x:c>
      <x:c r="G38" s="10" t="str">
        <x:v>33, 50, 83</x:v>
      </x:c>
      <x:c r="H38" s="10" t="str">
        <x:v>Higher in infected</x:v>
      </x:c>
      <x:c r="I38" s="10" t="n">
        <x:v>5.20662359682698e-11</x:v>
      </x:c>
      <x:c r="J38" s="10" t="n">
        <x:v>3.03865395293523</x:v>
      </x:c>
    </x:row>
    <x:row r="39">
      <x:c r="A39" s="10" t="str">
        <x:v>LOC126266760</x:v>
      </x:c>
      <x:c r="B39" s="10" t="str">
        <x:v>N-acetylmuramoyl-L-alanine amidase activity. It is involved in the biological process described with peptidoglycan catabolic process</x:v>
      </x:c>
      <x:c r="C39" s="10" t="str">
        <x:v>-</x:v>
      </x:c>
      <x:c r="D39" s="10" t="str">
        <x:v>Functional candidate</x:v>
      </x:c>
      <x:c r="E39" s="10" t="str">
        <x:v>Immune-related</x:v>
      </x:c>
      <x:c r="F39" s="10" t="str">
        <x:v>DEG</x:v>
      </x:c>
      <x:c r="G39" s="10" t="str">
        <x:v>33, 50, 83</x:v>
      </x:c>
      <x:c r="H39" s="10" t="str">
        <x:v>Higher in infected</x:v>
      </x:c>
      <x:c r="I39" s="10" t="n">
        <x:v>4.6251701502418005e-10</x:v>
      </x:c>
      <x:c r="J39" s="10" t="n">
        <x:v>2.63275030110292</x:v>
      </x:c>
    </x:row>
    <x:row r="40">
      <x:c r="A40" s="10" t="str">
        <x:v>LOC126267038</x:v>
      </x:c>
      <x:c r="B40" s="10" t="str">
        <x:v>Signal transducer and activator of transcription</x:v>
      </x:c>
      <x:c r="C40" s="10" t="str">
        <x:v>-</x:v>
      </x:c>
      <x:c r="D40" s="10" t="str">
        <x:v>Functional candidate</x:v>
      </x:c>
      <x:c r="E40" s="10" t="str">
        <x:v>Immune-related</x:v>
      </x:c>
      <x:c r="F40" s="10" t="str">
        <x:v>DEG</x:v>
      </x:c>
      <x:c r="G40" s="10" t="str">
        <x:v>33, 50, 83</x:v>
      </x:c>
      <x:c r="H40" s="10" t="str">
        <x:v>Higher in infected</x:v>
      </x:c>
      <x:c r="I40" s="10" t="n">
        <x:v>3.55770547928267e-7</x:v>
      </x:c>
      <x:c r="J40" s="10" t="n">
        <x:v>1.29336239194164</x:v>
      </x:c>
    </x:row>
    <x:row r="41">
      <x:c r="A41" s="10" t="str">
        <x:v>LOC126267104</x:v>
      </x:c>
      <x:c r="B41" s="10" t="str">
        <x:v>Immunoglobulin C-2 Type</x:v>
      </x:c>
      <x:c r="C41" s="10" t="str">
        <x:v>-</x:v>
      </x:c>
      <x:c r="D41" s="10" t="str">
        <x:v>Functional candidate</x:v>
      </x:c>
      <x:c r="E41" s="10" t="str">
        <x:v>Immune-related</x:v>
      </x:c>
      <x:c r="F41" s="10" t="str">
        <x:v>Not DEG</x:v>
      </x:c>
      <x:c r="G41" s="10" t="str"/>
      <x:c r="H41" s="10" t="str"/>
      <x:c r="I41" s="10" t="str"/>
      <x:c r="J41" s="10" t="n">
        <x:v>0</x:v>
      </x:c>
    </x:row>
    <x:row r="42">
      <x:c r="A42" s="10" t="str">
        <x:v>LOC126267143</x:v>
      </x:c>
      <x:c r="B42" s="10" t="str">
        <x:v>C-type lectin (CTL) or carbohydrate-recognition domain (CRD)</x:v>
      </x:c>
      <x:c r="C42" s="10" t="str">
        <x:v>CTLGA3</x:v>
      </x:c>
      <x:c r="D42" s="10" t="str">
        <x:v>Functional candidate</x:v>
      </x:c>
      <x:c r="E42" s="10" t="str">
        <x:v>Immune-related</x:v>
      </x:c>
      <x:c r="F42" s="10" t="str">
        <x:v>Not DEG</x:v>
      </x:c>
      <x:c r="G42" s="10" t="str"/>
      <x:c r="H42" s="10" t="str"/>
      <x:c r="I42" s="10" t="str"/>
      <x:c r="J42" s="10" t="n">
        <x:v>0</x:v>
      </x:c>
    </x:row>
    <x:row r="43">
      <x:c r="A43" s="10" t="str">
        <x:v>LOC126267162</x:v>
      </x:c>
      <x:c r="B43" s="10" t="str">
        <x:v>Animal peptidoglycan recognition proteins homologous to Bacteriophage T3 lysozyme.</x:v>
      </x:c>
      <x:c r="C43" s="10" t="str">
        <x:v>PGRPLC</x:v>
      </x:c>
      <x:c r="D43" s="10" t="str">
        <x:v>Top DEG</x:v>
      </x:c>
      <x:c r="E43" s="10" t="str">
        <x:v>Immune-related</x:v>
      </x:c>
      <x:c r="F43" s="10" t="str">
        <x:v>DEG</x:v>
      </x:c>
      <x:c r="G43" s="10" t="str">
        <x:v>33, 50, 83</x:v>
      </x:c>
      <x:c r="H43" s="10" t="str">
        <x:v>Higher in infected</x:v>
      </x:c>
      <x:c r="I43" s="10" t="n">
        <x:v>3.86825470692124e-10</x:v>
      </x:c>
      <x:c r="J43" s="10" t="n">
        <x:v>2.3037591352121</x:v>
      </x:c>
    </x:row>
    <x:row r="44">
      <x:c r="A44" s="10" t="str">
        <x:v>LOC126267163</x:v>
      </x:c>
      <x:c r="B44" s="10" t="str">
        <x:v>N-acetylmuramoyl-L-alanine amidase activity. It is involved in the biological process described with peptidoglycan catabolic process</x:v>
      </x:c>
      <x:c r="C44" s="10" t="str">
        <x:v>-</x:v>
      </x:c>
      <x:c r="D44" s="10" t="str">
        <x:v>Functional candidate</x:v>
      </x:c>
      <x:c r="E44" s="10" t="str">
        <x:v>Immune-related</x:v>
      </x:c>
      <x:c r="F44" s="10" t="str">
        <x:v>DEG</x:v>
      </x:c>
      <x:c r="G44" s="10" t="str">
        <x:v>33, 50, 83</x:v>
      </x:c>
      <x:c r="H44" s="10" t="str">
        <x:v>Higher in infected</x:v>
      </x:c>
      <x:c r="I44" s="10" t="n">
        <x:v>1.3626619973563202e-9</x:v>
      </x:c>
      <x:c r="J44" s="10" t="n">
        <x:v>3.57686747423888</x:v>
      </x:c>
    </x:row>
    <x:row r="45">
      <x:c r="A45" s="10" t="str">
        <x:v>LOC126267215</x:v>
      </x:c>
      <x:c r="B45" s="10" t="str">
        <x:v>Animal peptidoglycan recognition proteins homologous to Bacteriophage T3 lysozyme.</x:v>
      </x:c>
      <x:c r="C45" s="10" t="str">
        <x:v>PGRPLA</x:v>
      </x:c>
      <x:c r="D45" s="10" t="str">
        <x:v>Functional candidate</x:v>
      </x:c>
      <x:c r="E45" s="10" t="str">
        <x:v>Immune-related</x:v>
      </x:c>
      <x:c r="F45" s="10" t="str">
        <x:v>DEG</x:v>
      </x:c>
      <x:c r="G45" s="10" t="str">
        <x:v>33, 50, 83</x:v>
      </x:c>
      <x:c r="H45" s="10" t="str">
        <x:v>Higher in infected</x:v>
      </x:c>
      <x:c r="I45" s="10" t="n">
        <x:v>4.48639704173368e-13</x:v>
      </x:c>
      <x:c r="J45" s="10" t="n">
        <x:v>5.58120187934973</x:v>
      </x:c>
    </x:row>
    <x:row r="46">
      <x:c r="A46" s="10" t="str">
        <x:v>LOC126267216</x:v>
      </x:c>
      <x:c r="B46" s="10" t="str">
        <x:v>Animal peptidoglycan recognition proteins homologous to Bacteriophage T3 lysozyme.</x:v>
      </x:c>
      <x:c r="C46" s="10" t="str">
        <x:v>PGRPLA</x:v>
      </x:c>
      <x:c r="D46" s="10" t="str">
        <x:v>Functional candidate</x:v>
      </x:c>
      <x:c r="E46" s="10" t="str">
        <x:v>Immune-related</x:v>
      </x:c>
      <x:c r="F46" s="10" t="str">
        <x:v>DEG</x:v>
      </x:c>
      <x:c r="G46" s="10" t="str">
        <x:v>33, 50, 83</x:v>
      </x:c>
      <x:c r="H46" s="10" t="str">
        <x:v>Higher in infected</x:v>
      </x:c>
      <x:c r="I46" s="10" t="n">
        <x:v>1.6437228122560101e-9</x:v>
      </x:c>
      <x:c r="J46" s="10" t="n">
        <x:v>4.58076896648078</x:v>
      </x:c>
    </x:row>
    <x:row r="47">
      <x:c r="A47" s="10" t="str">
        <x:v>LOC126267256</x:v>
      </x:c>
      <x:c r="B47" s="10" t="str">
        <x:v>C-type lectin (CTL) or carbohydrate-recognition domain (CRD)</x:v>
      </x:c>
      <x:c r="C47" s="10" t="str">
        <x:v>CTLSE2</x:v>
      </x:c>
      <x:c r="D47" s="10" t="str">
        <x:v>Functional candidate</x:v>
      </x:c>
      <x:c r="E47" s="10" t="str">
        <x:v>Immune-related</x:v>
      </x:c>
      <x:c r="F47" s="10" t="str">
        <x:v>Not DEG</x:v>
      </x:c>
      <x:c r="G47" s="10" t="str"/>
      <x:c r="H47" s="10" t="str"/>
      <x:c r="I47" s="10" t="str"/>
      <x:c r="J47" s="10" t="n">
        <x:v>0</x:v>
      </x:c>
    </x:row>
    <x:row r="48">
      <x:c r="A48" s="10" t="str">
        <x:v>LOC126267335</x:v>
      </x:c>
      <x:c r="B48" s="10" t="str">
        <x:v>CD80-like C2-set immunoglobulin domain</x:v>
      </x:c>
      <x:c r="C48" s="10" t="str">
        <x:v>-</x:v>
      </x:c>
      <x:c r="D48" s="10" t="str">
        <x:v>Functional candidate</x:v>
      </x:c>
      <x:c r="E48" s="10" t="str">
        <x:v>Immune-related</x:v>
      </x:c>
      <x:c r="F48" s="10" t="str">
        <x:v>Not DEG</x:v>
      </x:c>
      <x:c r="G48" s="10" t="str"/>
      <x:c r="H48" s="10" t="str"/>
      <x:c r="I48" s="10" t="str"/>
      <x:c r="J48" s="10" t="n">
        <x:v>0</x:v>
      </x:c>
    </x:row>
    <x:row r="49">
      <x:c r="A49" s="10" t="str">
        <x:v>LOC126267343</x:v>
      </x:c>
      <x:c r="B49" s="10" t="str">
        <x:v>N-acetylmuramoyl-L-alanine amidase activity. It is involved in the biological process described with peptidoglycan catabolic process</x:v>
      </x:c>
      <x:c r="C49" s="10" t="str">
        <x:v>-</x:v>
      </x:c>
      <x:c r="D49" s="10" t="str">
        <x:v>Functional candidate</x:v>
      </x:c>
      <x:c r="E49" s="10" t="str">
        <x:v>Immune-related</x:v>
      </x:c>
      <x:c r="F49" s="10" t="str">
        <x:v>DEG</x:v>
      </x:c>
      <x:c r="G49" s="10" t="str">
        <x:v>33, 50, 83</x:v>
      </x:c>
      <x:c r="H49" s="10" t="str">
        <x:v>Higher in infected</x:v>
      </x:c>
      <x:c r="I49" s="10" t="n">
        <x:v>1.15242593608435e-8</x:v>
      </x:c>
      <x:c r="J49" s="10" t="n">
        <x:v>2.14928073623701</x:v>
      </x:c>
    </x:row>
    <x:row r="50">
      <x:c r="A50" s="10" t="str">
        <x:v>LOC126267478</x:v>
      </x:c>
      <x:c r="B50" s="10" t="str">
        <x:v>cysteine-type endopeptidase inhibitor activity. It is involved in the biological process described with proteolysis</x:v>
      </x:c>
      <x:c r="C50" s="10" t="str">
        <x:v>-</x:v>
      </x:c>
      <x:c r="D50" s="10" t="str">
        <x:v>Functional candidate</x:v>
      </x:c>
      <x:c r="E50" s="10" t="str">
        <x:v>Immune-related</x:v>
      </x:c>
      <x:c r="F50" s="10" t="str">
        <x:v>Not DEG</x:v>
      </x:c>
      <x:c r="G50" s="10" t="str"/>
      <x:c r="H50" s="10" t="str"/>
      <x:c r="I50" s="10" t="str"/>
      <x:c r="J50" s="10" t="n">
        <x:v>0</x:v>
      </x:c>
    </x:row>
    <x:row r="51">
      <x:c r="A51" s="10" t="str">
        <x:v>LOC126267519</x:v>
      </x:c>
      <x:c r="B51" s="10" t="str">
        <x:v>cysteine-type endopeptidase inhibitor activity. It is involved in the biological process described with proteolysis</x:v>
      </x:c>
      <x:c r="C51" s="10" t="str">
        <x:v>-</x:v>
      </x:c>
      <x:c r="D51" s="10" t="str">
        <x:v>Functional candidate</x:v>
      </x:c>
      <x:c r="E51" s="10" t="str">
        <x:v>Immune-related</x:v>
      </x:c>
      <x:c r="F51" s="10" t="str">
        <x:v>Not DEG</x:v>
      </x:c>
      <x:c r="G51" s="10" t="str"/>
      <x:c r="H51" s="10" t="str"/>
      <x:c r="I51" s="10" t="str"/>
      <x:c r="J51" s="10" t="n">
        <x:v>0</x:v>
      </x:c>
    </x:row>
    <x:row r="52">
      <x:c r="A52" s="10" t="str">
        <x:v>LOC126267652</x:v>
      </x:c>
      <x:c r="B52" s="10" t="str">
        <x:v>N-acetylmuramoyl-L-alanine amidase activity. It is involved in the biological process described with peptidoglycan catabolic process</x:v>
      </x:c>
      <x:c r="C52" s="10" t="str">
        <x:v>PGRPLA</x:v>
      </x:c>
      <x:c r="D52" s="10" t="str">
        <x:v>Functional candidate</x:v>
      </x:c>
      <x:c r="E52" s="10" t="str">
        <x:v>Immune-related</x:v>
      </x:c>
      <x:c r="F52" s="10" t="str">
        <x:v>DEG</x:v>
      </x:c>
      <x:c r="G52" s="10" t="str">
        <x:v>33, 50, 83</x:v>
      </x:c>
      <x:c r="H52" s="10" t="str">
        <x:v>Higher in infected</x:v>
      </x:c>
      <x:c r="I52" s="10" t="n">
        <x:v>1.79349944382259e-9</x:v>
      </x:c>
      <x:c r="J52" s="10" t="n">
        <x:v>3.09292458254287</x:v>
      </x:c>
    </x:row>
    <x:row r="53">
      <x:c r="A53" s="10" t="str">
        <x:v>LOC126267690</x:v>
      </x:c>
      <x:c r="B53" s="10" t="str">
        <x:v>Domain of unknown function (DUF1986)</x:v>
      </x:c>
      <x:c r="C53" s="10" t="str">
        <x:v>CLIPD2</x:v>
      </x:c>
      <x:c r="D53" s="10" t="str">
        <x:v>Functional candidate</x:v>
      </x:c>
      <x:c r="E53" s="10" t="str">
        <x:v>Immune-related</x:v>
      </x:c>
      <x:c r="F53" s="10" t="str">
        <x:v>Not DEG</x:v>
      </x:c>
      <x:c r="G53" s="10" t="str"/>
      <x:c r="H53" s="10" t="str"/>
      <x:c r="I53" s="10" t="str"/>
      <x:c r="J53" s="10" t="n">
        <x:v>0</x:v>
      </x:c>
    </x:row>
    <x:row r="54">
      <x:c r="A54" s="10" t="str">
        <x:v>LOC126268068</x:v>
      </x:c>
      <x:c r="B54" s="10" t="str">
        <x:v>Animal peptidoglycan recognition proteins homologous to Bacteriophage T3 lysozyme.</x:v>
      </x:c>
      <x:c r="C54" s="10" t="str">
        <x:v>PGRPLA</x:v>
      </x:c>
      <x:c r="D54" s="10" t="str">
        <x:v>Functional candidate</x:v>
      </x:c>
      <x:c r="E54" s="10" t="str">
        <x:v>Immune-related</x:v>
      </x:c>
      <x:c r="F54" s="10" t="str">
        <x:v>DEG</x:v>
      </x:c>
      <x:c r="G54" s="10" t="str">
        <x:v>33, 50, 83</x:v>
      </x:c>
      <x:c r="H54" s="10" t="str">
        <x:v>Higher in infected</x:v>
      </x:c>
      <x:c r="I54" s="10" t="n">
        <x:v>4.87879007159212e-10</x:v>
      </x:c>
      <x:c r="J54" s="10" t="n">
        <x:v>2.76019078192092</x:v>
      </x:c>
    </x:row>
    <x:row r="55">
      <x:c r="A55" s="10" t="str">
        <x:v>LOC126271975</x:v>
      </x:c>
      <x:c r="B55" s="10" t="str">
        <x:v>Alpha-lactalbumin / lysozyme C</x:v>
      </x:c>
      <x:c r="C55" s="10" t="str">
        <x:v>-</x:v>
      </x:c>
      <x:c r="D55" s="10" t="str">
        <x:v>Functional candidate</x:v>
      </x:c>
      <x:c r="E55" s="10" t="str">
        <x:v>Immune-related</x:v>
      </x:c>
      <x:c r="F55" s="10" t="str">
        <x:v>DEG</x:v>
      </x:c>
      <x:c r="G55" s="10" t="str">
        <x:v>33, 50, 83</x:v>
      </x:c>
      <x:c r="H55" s="10" t="str">
        <x:v>Higher in infected</x:v>
      </x:c>
      <x:c r="I55" s="10" t="n">
        <x:v>3.88822452337945e-12</x:v>
      </x:c>
      <x:c r="J55" s="10" t="n">
        <x:v>6.86586467040731</x:v>
      </x:c>
    </x:row>
    <x:row r="56">
      <x:c r="A56" s="10" t="str">
        <x:v>LOC126272350</x:v>
      </x:c>
      <x:c r="B56" s="10" t="str">
        <x:v>carbohydrate binding</x:v>
      </x:c>
      <x:c r="C56" s="10" t="str">
        <x:v>-</x:v>
      </x:c>
      <x:c r="D56" s="10" t="str">
        <x:v>Functional candidate</x:v>
      </x:c>
      <x:c r="E56" s="10" t="str">
        <x:v>Immune-related</x:v>
      </x:c>
      <x:c r="F56" s="10" t="str">
        <x:v>Not DEG</x:v>
      </x:c>
      <x:c r="G56" s="10" t="str"/>
      <x:c r="H56" s="10" t="str"/>
      <x:c r="I56" s="10" t="str"/>
      <x:c r="J56" s="10" t="n">
        <x:v>0</x:v>
      </x:c>
    </x:row>
    <x:row r="57">
      <x:c r="A57" s="10" t="str">
        <x:v>LOC126277885</x:v>
      </x:c>
      <x:c r="B57" s="10" t="str">
        <x:v>Immunoglobulin C-2 Type</x:v>
      </x:c>
      <x:c r="C57" s="10" t="str">
        <x:v>-</x:v>
      </x:c>
      <x:c r="D57" s="10" t="str">
        <x:v>Functional candidate</x:v>
      </x:c>
      <x:c r="E57" s="10" t="str">
        <x:v>Immune-related</x:v>
      </x:c>
      <x:c r="F57" s="10" t="str">
        <x:v>Not DEG</x:v>
      </x:c>
      <x:c r="G57" s="10" t="str"/>
      <x:c r="H57" s="10" t="str"/>
      <x:c r="I57" s="10" t="str"/>
      <x:c r="J57" s="10" t="n">
        <x:v>0</x:v>
      </x:c>
    </x:row>
    <x:row r="58">
      <x:c r="A58" s="10" t="str">
        <x:v>LOC126281380</x:v>
      </x:c>
      <x:c r="B58" s="10" t="str">
        <x:v>Immunoglobulin V-set domain</x:v>
      </x:c>
      <x:c r="C58" s="10" t="str">
        <x:v>-</x:v>
      </x:c>
      <x:c r="D58" s="10" t="str">
        <x:v>Functional candidate</x:v>
      </x:c>
      <x:c r="E58" s="10" t="str">
        <x:v>Immune-related</x:v>
      </x:c>
      <x:c r="F58" s="10" t="str">
        <x:v>Not DEG</x:v>
      </x:c>
      <x:c r="G58" s="10" t="str"/>
      <x:c r="H58" s="10" t="str"/>
      <x:c r="I58" s="10" t="str"/>
      <x:c r="J58" s="10" t="n">
        <x:v>0</x:v>
      </x:c>
    </x:row>
    <x:row r="59">
      <x:c r="A59" s="10" t="str">
        <x:v>LOC126281386</x:v>
      </x:c>
      <x:c r="B59" s="10" t="str">
        <x:v>Immunoglobulin</x:v>
      </x:c>
      <x:c r="C59" s="10" t="str">
        <x:v>-</x:v>
      </x:c>
      <x:c r="D59" s="10" t="str">
        <x:v>Functional candidate</x:v>
      </x:c>
      <x:c r="E59" s="10" t="str">
        <x:v>Immune-related</x:v>
      </x:c>
      <x:c r="F59" s="10" t="str">
        <x:v>Not DEG</x:v>
      </x:c>
      <x:c r="G59" s="10" t="str"/>
      <x:c r="H59" s="10" t="str"/>
      <x:c r="I59" s="10" t="str"/>
      <x:c r="J59" s="10" t="n">
        <x:v>0</x:v>
      </x:c>
    </x:row>
    <x:row r="60">
      <x:c r="A60" s="10" t="str">
        <x:v>LOC126281485</x:v>
      </x:c>
      <x:c r="B60" s="10" t="str">
        <x:v>Immunoglobulin</x:v>
      </x:c>
      <x:c r="C60" s="10" t="str">
        <x:v>-</x:v>
      </x:c>
      <x:c r="D60" s="10" t="str">
        <x:v>Functional candidate</x:v>
      </x:c>
      <x:c r="E60" s="10" t="str">
        <x:v>Immune-related</x:v>
      </x:c>
      <x:c r="F60" s="10" t="str">
        <x:v>Not DEG</x:v>
      </x:c>
      <x:c r="G60" s="10" t="str"/>
      <x:c r="H60" s="10" t="str"/>
      <x:c r="I60" s="10" t="str"/>
      <x:c r="J60" s="10" t="n">
        <x:v>0</x:v>
      </x:c>
    </x:row>
    <x:row r="61">
      <x:c r="A61" s="10" t="str">
        <x:v>LOC126285462</x:v>
      </x:c>
      <x:c r="B61" s="10" t="str">
        <x:v>Animal peptidoglycan recognition proteins homologous to Bacteriophage T3 lysozyme.</x:v>
      </x:c>
      <x:c r="C61" s="10" t="str">
        <x:v>-</x:v>
      </x:c>
      <x:c r="D61" s="10" t="str">
        <x:v>Top DEG</x:v>
      </x:c>
      <x:c r="E61" s="10" t="str">
        <x:v>Immune-related</x:v>
      </x:c>
      <x:c r="F61" s="10" t="str">
        <x:v>DEG</x:v>
      </x:c>
      <x:c r="G61" s="10" t="str">
        <x:v>33, 50, 83</x:v>
      </x:c>
      <x:c r="H61" s="10" t="str">
        <x:v>Higher in infected</x:v>
      </x:c>
      <x:c r="I61" s="10" t="n">
        <x:v>7.62101195131348e-14</x:v>
      </x:c>
      <x:c r="J61" s="10" t="n">
        <x:v>2.97244445740735</x:v>
      </x:c>
    </x:row>
    <x:row r="62">
      <x:c r="A62" s="10" t="str">
        <x:v>LOC126291921</x:v>
      </x:c>
      <x:c r="B62" s="10" t="str">
        <x:v>serine-type endopeptidase activity. It is involved in the biological process described with proteolysis</x:v>
      </x:c>
      <x:c r="C62" s="10" t="str">
        <x:v>CLIPB16</x:v>
      </x:c>
      <x:c r="D62" s="10" t="str">
        <x:v>Functional candidate</x:v>
      </x:c>
      <x:c r="E62" s="10" t="str">
        <x:v>Immune-related</x:v>
      </x:c>
      <x:c r="F62" s="10" t="str">
        <x:v>DEG</x:v>
      </x:c>
      <x:c r="G62" s="10" t="str">
        <x:v>50</x:v>
      </x:c>
      <x:c r="H62" s="10" t="str">
        <x:v>Higher in infected</x:v>
      </x:c>
      <x:c r="I62" s="10" t="n">
        <x:v>7.29794833966077e-7</x:v>
      </x:c>
      <x:c r="J62" s="10" t="n">
        <x:v>1.35621699853273</x:v>
      </x:c>
    </x:row>
    <x:row r="63">
      <x:c r="A63" s="10" t="str">
        <x:v>LOC126293319</x:v>
      </x:c>
      <x:c r="B63" s="10" t="str">
        <x:v>Immunoglobulin</x:v>
      </x:c>
      <x:c r="C63" s="10" t="str">
        <x:v>-</x:v>
      </x:c>
      <x:c r="D63" s="10" t="str">
        <x:v>Functional candidate</x:v>
      </x:c>
      <x:c r="E63" s="10" t="str">
        <x:v>Immune-related</x:v>
      </x:c>
      <x:c r="F63" s="10" t="str">
        <x:v>Not DEG</x:v>
      </x:c>
      <x:c r="G63" s="10" t="str"/>
      <x:c r="H63" s="10" t="str"/>
      <x:c r="I63" s="10" t="str"/>
      <x:c r="J63" s="10" t="n">
        <x:v>0</x:v>
      </x:c>
    </x:row>
    <x:row r="64">
      <x:c r="A64" s="10" t="str">
        <x:v>LOC126335167</x:v>
      </x:c>
      <x:c r="B64" s="10" t="str">
        <x:v>Belongs to the serpin family</x:v>
      </x:c>
      <x:c r="C64" s="10" t="str">
        <x:v>-</x:v>
      </x:c>
      <x:c r="D64" s="10" t="str">
        <x:v>Functional candidate</x:v>
      </x:c>
      <x:c r="E64" s="10" t="str">
        <x:v>Immune-related</x:v>
      </x:c>
      <x:c r="F64" s="10" t="str">
        <x:v>Not DEG</x:v>
      </x:c>
      <x:c r="G64" s="10" t="str"/>
      <x:c r="H64" s="10" t="str"/>
      <x:c r="I64" s="10" t="str"/>
      <x:c r="J64" s="10" t="n">
        <x:v>0</x:v>
      </x:c>
    </x:row>
    <x:row r="65">
      <x:c r="A65" s="10" t="str">
        <x:v>LOC126335463</x:v>
      </x:c>
      <x:c r="B65" s="10" t="str">
        <x:v>Belongs to the serpin family</x:v>
      </x:c>
      <x:c r="C65" s="10" t="str">
        <x:v>-</x:v>
      </x:c>
      <x:c r="D65" s="10" t="str">
        <x:v>Top DEG</x:v>
      </x:c>
      <x:c r="E65" s="10" t="str">
        <x:v>Immune-related</x:v>
      </x:c>
      <x:c r="F65" s="10" t="str">
        <x:v>DEG</x:v>
      </x:c>
      <x:c r="G65" s="10" t="str">
        <x:v>33, 50, 83</x:v>
      </x:c>
      <x:c r="H65" s="10" t="str">
        <x:v>Higher in infected</x:v>
      </x:c>
      <x:c r="I65" s="10" t="n">
        <x:v>4.9566121721403405e-20</x:v>
      </x:c>
      <x:c r="J65" s="10" t="n">
        <x:v>6.87500175759492</x:v>
      </x:c>
    </x:row>
    <x:row r="66">
      <x:c r="A66" s="10" t="str">
        <x:v>LOC126335468</x:v>
      </x:c>
      <x:c r="B66" s="10" t="str">
        <x:v>Belongs to the serpin family</x:v>
      </x:c>
      <x:c r="C66" s="10" t="str">
        <x:v>-</x:v>
      </x:c>
      <x:c r="D66" s="10" t="str">
        <x:v>Functional candidate</x:v>
      </x:c>
      <x:c r="E66" s="10" t="str">
        <x:v>Immune-related</x:v>
      </x:c>
      <x:c r="F66" s="10" t="str">
        <x:v>DEG</x:v>
      </x:c>
      <x:c r="G66" s="10" t="str">
        <x:v>33, 50</x:v>
      </x:c>
      <x:c r="H66" s="10" t="str">
        <x:v>Higher in infected</x:v>
      </x:c>
      <x:c r="I66" s="10" t="n">
        <x:v>5.26154710955241e-7</x:v>
      </x:c>
      <x:c r="J66" s="10" t="n">
        <x:v>3.62285149371615</x:v>
      </x:c>
    </x:row>
    <x:row r="67">
      <x:c r="A67" s="10" t="str">
        <x:v>LOC126335469</x:v>
      </x:c>
      <x:c r="B67" s="10" t="str">
        <x:v>Belongs to the serpin family</x:v>
      </x:c>
      <x:c r="C67" s="10" t="str">
        <x:v>-</x:v>
      </x:c>
      <x:c r="D67" s="10" t="str">
        <x:v>Functional candidate</x:v>
      </x:c>
      <x:c r="E67" s="10" t="str">
        <x:v>Immune-related</x:v>
      </x:c>
      <x:c r="F67" s="10" t="str">
        <x:v>Not DEG</x:v>
      </x:c>
      <x:c r="G67" s="10" t="str"/>
      <x:c r="H67" s="10" t="str"/>
      <x:c r="I67" s="10" t="str"/>
      <x:c r="J67" s="10" t="n">
        <x:v>0</x:v>
      </x:c>
    </x:row>
    <x:row r="68">
      <x:c r="A68" s="10" t="str">
        <x:v>LOC126336325</x:v>
      </x:c>
      <x:c r="B68" s="10" t="str">
        <x:v>Knottins</x:v>
      </x:c>
      <x:c r="C68" s="10" t="str">
        <x:v>-</x:v>
      </x:c>
      <x:c r="D68" s="10" t="str">
        <x:v>Functional candidate</x:v>
      </x:c>
      <x:c r="E68" s="10" t="str">
        <x:v>Immune-related</x:v>
      </x:c>
      <x:c r="F68" s="10" t="str">
        <x:v>DEG</x:v>
      </x:c>
      <x:c r="G68" s="10" t="str">
        <x:v>33, 50, 83</x:v>
      </x:c>
      <x:c r="H68" s="10" t="str">
        <x:v>Higher in infected</x:v>
      </x:c>
      <x:c r="I68" s="10" t="n">
        <x:v>4.7396079225084e-10</x:v>
      </x:c>
      <x:c r="J68" s="10" t="n">
        <x:v>7.02399448480003</x:v>
      </x:c>
    </x:row>
    <x:row r="69">
      <x:c r="A69" s="10" t="str">
        <x:v>LOC126336578</x:v>
      </x:c>
      <x:c r="B69" s="10" t="str">
        <x:v>Immunoglobulin V-set domain</x:v>
      </x:c>
      <x:c r="C69" s="10" t="str">
        <x:v>-</x:v>
      </x:c>
      <x:c r="D69" s="10" t="str">
        <x:v>Functional candidate</x:v>
      </x:c>
      <x:c r="E69" s="10" t="str">
        <x:v>Immune-related</x:v>
      </x:c>
      <x:c r="F69" s="10" t="str">
        <x:v>DEG</x:v>
      </x:c>
      <x:c r="G69" s="10" t="str">
        <x:v>33, 50, 83</x:v>
      </x:c>
      <x:c r="H69" s="10" t="str">
        <x:v>Higher in infected</x:v>
      </x:c>
      <x:c r="I69" s="10" t="n">
        <x:v>5.928475442228249e-11</x:v>
      </x:c>
      <x:c r="J69" s="10" t="n">
        <x:v>5.17760244135061</x:v>
      </x:c>
    </x:row>
    <x:row r="70">
      <x:c r="A70" s="10" t="str">
        <x:v>LOC126336641</x:v>
      </x:c>
      <x:c r="B70" s="10" t="str">
        <x:v>N-acetylmuramoyl-L-alanine amidase activity. It is involved in the biological process described with peptidoglycan catabolic process</x:v>
      </x:c>
      <x:c r="C70" s="10" t="str">
        <x:v>-</x:v>
      </x:c>
      <x:c r="D70" s="10" t="str">
        <x:v>Functional candidate</x:v>
      </x:c>
      <x:c r="E70" s="10" t="str">
        <x:v>Immune-related</x:v>
      </x:c>
      <x:c r="F70" s="10" t="str">
        <x:v>Not DEG</x:v>
      </x:c>
      <x:c r="G70" s="10" t="str"/>
      <x:c r="H70" s="10" t="str"/>
      <x:c r="I70" s="10" t="str"/>
      <x:c r="J70" s="10" t="n">
        <x:v>0</x:v>
      </x:c>
    </x:row>
    <x:row r="71">
      <x:c r="A71" s="10" t="str">
        <x:v>LOC126354270</x:v>
      </x:c>
      <x:c r="B71" s="10" t="str">
        <x:v>serine-type endopeptidase activity. It is involved in the biological process described with proteolysis</x:v>
      </x:c>
      <x:c r="C71" s="10" t="str">
        <x:v>-</x:v>
      </x:c>
      <x:c r="D71" s="10" t="str">
        <x:v>Functional candidate</x:v>
      </x:c>
      <x:c r="E71" s="10" t="str">
        <x:v>Immune-related</x:v>
      </x:c>
      <x:c r="F71" s="10" t="str">
        <x:v>Not DEG</x:v>
      </x:c>
      <x:c r="G71" s="10" t="str"/>
      <x:c r="H71" s="10" t="str"/>
      <x:c r="I71" s="10" t="str"/>
      <x:c r="J71" s="10" t="n">
        <x:v>0</x:v>
      </x:c>
    </x:row>
    <x:row r="72">
      <x:c r="A72" s="10" t="str">
        <x:v>LOC126363134</x:v>
      </x:c>
      <x:c r="B72" s="10" t="str">
        <x:v>C-type lectin (CTL) or carbohydrate-recognition domain (CRD)</x:v>
      </x:c>
      <x:c r="C72" s="10" t="str">
        <x:v>CTLSE1</x:v>
      </x:c>
      <x:c r="D72" s="10" t="str">
        <x:v>Functional candidate</x:v>
      </x:c>
      <x:c r="E72" s="10" t="str">
        <x:v>Immune-related</x:v>
      </x:c>
      <x:c r="F72" s="10" t="str">
        <x:v>Not DEG</x:v>
      </x:c>
      <x:c r="G72" s="10" t="str"/>
      <x:c r="H72" s="10" t="str"/>
      <x:c r="I72" s="10" t="str"/>
      <x:c r="J72" s="10" t="n">
        <x:v>0</x:v>
      </x:c>
    </x:row>
    <x:row r="73">
      <x:c r="A73" s="10" t="str">
        <x:v>LOC126365918</x:v>
      </x:c>
      <x:c r="B73" s="10" t="str">
        <x:v>Animal peptidoglycan recognition proteins homologous to Bacteriophage T3 lysozyme.</x:v>
      </x:c>
      <x:c r="C73" s="10" t="str">
        <x:v>PGRPLA</x:v>
      </x:c>
      <x:c r="D73" s="10" t="str">
        <x:v>Functional candidate</x:v>
      </x:c>
      <x:c r="E73" s="10" t="str">
        <x:v>Immune-related</x:v>
      </x:c>
      <x:c r="F73" s="10" t="str">
        <x:v>DEG</x:v>
      </x:c>
      <x:c r="G73" s="10" t="str">
        <x:v>33, 50, 83</x:v>
      </x:c>
      <x:c r="H73" s="10" t="str">
        <x:v>Higher in infected</x:v>
      </x:c>
      <x:c r="I73" s="10" t="n">
        <x:v>5.23205575066495e-7</x:v>
      </x:c>
      <x:c r="J73" s="10" t="n">
        <x:v>1.70440125914395</x:v>
      </x:c>
    </x:row>
    <x:row r="74">
      <x:c r="A74" s="10" t="str">
        <x:v>LOC126267545</x:v>
      </x:c>
      <x:c r="B74" s="10" t="str">
        <x:v>Trypsin-like serine protease</x:v>
      </x:c>
      <x:c r="C74" s="10" t="str">
        <x:v>-</x:v>
      </x:c>
      <x:c r="D74" s="10" t="str">
        <x:v>Functional candidate</x:v>
      </x:c>
      <x:c r="E74" s="10" t="str">
        <x:v>Nutrition/metabolism</x:v>
      </x:c>
      <x:c r="F74" s="10" t="str">
        <x:v>DEG</x:v>
      </x:c>
      <x:c r="G74" s="10" t="str">
        <x:v>33, 50</x:v>
      </x:c>
      <x:c r="H74" s="10" t="str">
        <x:v>Higher in infected</x:v>
      </x:c>
      <x:c r="I74" s="10" t="n">
        <x:v>1.23143253878045e-9</x:v>
      </x:c>
      <x:c r="J74" s="10" t="n">
        <x:v>6.64331890268697</x:v>
      </x:c>
    </x:row>
    <x:row r="75">
      <x:c r="A75" s="10" t="str">
        <x:v>LOC126269449</x:v>
      </x:c>
      <x:c r="B75" s="10" t="str">
        <x:v>Trypsin-like serine protease</x:v>
      </x:c>
      <x:c r="C75" s="10" t="str">
        <x:v>-</x:v>
      </x:c>
      <x:c r="D75" s="10" t="str">
        <x:v>Functional candidate</x:v>
      </x:c>
      <x:c r="E75" s="10" t="str">
        <x:v>Nutrition/metabolism</x:v>
      </x:c>
      <x:c r="F75" s="10" t="str">
        <x:v>Not DEG</x:v>
      </x:c>
      <x:c r="G75" s="10" t="str"/>
      <x:c r="H75" s="10" t="str"/>
      <x:c r="I75" s="10" t="str"/>
      <x:c r="J75" s="10" t="n">
        <x:v>0</x:v>
      </x:c>
    </x:row>
    <x:row r="76">
      <x:c r="A76" s="10" t="str">
        <x:v>LOC126272268</x:v>
      </x:c>
      <x:c r="B76" s="10" t="str">
        <x:v>Belongs to the major facilitator superfamily. Sugar transporter (TC 2.A.1.1) family</x:v>
      </x:c>
      <x:c r="C76" s="10" t="str">
        <x:v>-</x:v>
      </x:c>
      <x:c r="D76" s="10" t="str">
        <x:v>Functional candidate</x:v>
      </x:c>
      <x:c r="E76" s="10" t="str">
        <x:v>Nutrition/metabolism</x:v>
      </x:c>
      <x:c r="F76" s="10" t="str">
        <x:v>Not DEG</x:v>
      </x:c>
      <x:c r="G76" s="10" t="str"/>
      <x:c r="H76" s="10" t="str"/>
      <x:c r="I76" s="10" t="str"/>
      <x:c r="J76" s="10" t="n">
        <x:v>0</x:v>
      </x:c>
    </x:row>
    <x:row r="77">
      <x:c r="A77" s="10" t="str">
        <x:v>LOC126272290</x:v>
      </x:c>
      <x:c r="B77" s="10" t="str">
        <x:v>Hydrolase activity, acting on carbon-nitrogen (but not peptide) bonds, in linear amides. It is involved in the biological process described with nitrogen compound metabolic process</x:v>
      </x:c>
      <x:c r="C77" s="10" t="str">
        <x:v>-</x:v>
      </x:c>
      <x:c r="D77" s="10" t="str">
        <x:v>Functional candidate</x:v>
      </x:c>
      <x:c r="E77" s="10" t="str">
        <x:v>Nutrition/metabolism</x:v>
      </x:c>
      <x:c r="F77" s="10" t="str">
        <x:v>DEG</x:v>
      </x:c>
      <x:c r="G77" s="10" t="str">
        <x:v>33, 50, 83</x:v>
      </x:c>
      <x:c r="H77" s="10" t="str">
        <x:v>Higher in infected</x:v>
      </x:c>
      <x:c r="I77" s="10" t="n">
        <x:v>2.74557103840142e-8</x:v>
      </x:c>
      <x:c r="J77" s="10" t="n">
        <x:v>4.03492775680413</x:v>
      </x:c>
    </x:row>
    <x:row r="78">
      <x:c r="A78" s="10" t="str">
        <x:v>LOC126278130</x:v>
      </x:c>
      <x:c r="B78" s="10" t="str">
        <x:v>Transmembrane transporter activity. It is involved in the biological process described with transmembrane transport</x:v>
      </x:c>
      <x:c r="C78" s="10" t="str">
        <x:v>-</x:v>
      </x:c>
      <x:c r="D78" s="10" t="str">
        <x:v>Functional candidate</x:v>
      </x:c>
      <x:c r="E78" s="10" t="str">
        <x:v>Nutrition/metabolism</x:v>
      </x:c>
      <x:c r="F78" s="10" t="str">
        <x:v>Not DEG</x:v>
      </x:c>
      <x:c r="G78" s="10" t="str"/>
      <x:c r="H78" s="10" t="str"/>
      <x:c r="I78" s="10" t="str"/>
      <x:c r="J78" s="10" t="n">
        <x:v>0</x:v>
      </x:c>
    </x:row>
    <x:row r="79">
      <x:c r="A79" s="10" t="str">
        <x:v>LOC126278132</x:v>
      </x:c>
      <x:c r="B79" s="10" t="str">
        <x:v>Transmembrane transporter activity. It is involved in the biological process described with transmembrane transport</x:v>
      </x:c>
      <x:c r="C79" s="10" t="str">
        <x:v>-</x:v>
      </x:c>
      <x:c r="D79" s="10" t="str">
        <x:v>Functional candidate</x:v>
      </x:c>
      <x:c r="E79" s="10" t="str">
        <x:v>Nutrition/metabolism</x:v>
      </x:c>
      <x:c r="F79" s="10" t="str">
        <x:v>Not DEG</x:v>
      </x:c>
      <x:c r="G79" s="10" t="str"/>
      <x:c r="H79" s="10" t="str"/>
      <x:c r="I79" s="10" t="str"/>
      <x:c r="J79" s="10" t="n">
        <x:v>0</x:v>
      </x:c>
    </x:row>
    <x:row r="80">
      <x:c r="A80" s="10" t="str">
        <x:v>LOC126278232</x:v>
      </x:c>
      <x:c r="B80" s="10" t="str">
        <x:v>Sugar proton symporter activity. It is involved in the biological process described with carbohydrate transport</x:v>
      </x:c>
      <x:c r="C80" s="10" t="str">
        <x:v>-</x:v>
      </x:c>
      <x:c r="D80" s="10" t="str">
        <x:v>Functional candidate</x:v>
      </x:c>
      <x:c r="E80" s="10" t="str">
        <x:v>Nutrition/metabolism</x:v>
      </x:c>
      <x:c r="F80" s="10" t="str">
        <x:v>DEG</x:v>
      </x:c>
      <x:c r="G80" s="10" t="str">
        <x:v>33, 50, 83</x:v>
      </x:c>
      <x:c r="H80" s="10" t="str">
        <x:v>Higher in infected</x:v>
      </x:c>
      <x:c r="I80" s="10" t="n">
        <x:v>8.19058560432617e-9</x:v>
      </x:c>
      <x:c r="J80" s="10" t="n">
        <x:v>1.86355133731619</x:v>
      </x:c>
    </x:row>
    <x:row r="81">
      <x:c r="A81" s="10" t="str">
        <x:v>LOC126278707</x:v>
      </x:c>
      <x:c r="B81" s="10" t="str">
        <x:v>Trypsin</x:v>
      </x:c>
      <x:c r="C81" s="10" t="str">
        <x:v>-</x:v>
      </x:c>
      <x:c r="D81" s="10" t="str">
        <x:v>Functional candidate</x:v>
      </x:c>
      <x:c r="E81" s="10" t="str">
        <x:v>Nutrition/metabolism</x:v>
      </x:c>
      <x:c r="F81" s="10" t="str">
        <x:v>DEG</x:v>
      </x:c>
      <x:c r="G81" s="10" t="str">
        <x:v>33, 50, 83</x:v>
      </x:c>
      <x:c r="H81" s="10" t="str">
        <x:v>Higher in infected</x:v>
      </x:c>
      <x:c r="I81" s="10" t="n">
        <x:v>5.50527605301919e-10</x:v>
      </x:c>
      <x:c r="J81" s="10" t="n">
        <x:v>3.87577475322776</x:v>
      </x:c>
    </x:row>
    <x:row r="82">
      <x:c r="A82" s="10" t="str">
        <x:v>LOC126281423</x:v>
      </x:c>
      <x:c r="B82" s="10" t="str">
        <x:v>It is involved in the biological process described with proteolysis</x:v>
      </x:c>
      <x:c r="C82" s="10" t="str">
        <x:v>-</x:v>
      </x:c>
      <x:c r="D82" s="10" t="str">
        <x:v>Functional candidate</x:v>
      </x:c>
      <x:c r="E82" s="10" t="str">
        <x:v>Nutrition/metabolism</x:v>
      </x:c>
      <x:c r="F82" s="10" t="str">
        <x:v>Not DEG</x:v>
      </x:c>
      <x:c r="G82" s="10" t="str"/>
      <x:c r="H82" s="10" t="str"/>
      <x:c r="I82" s="10" t="str"/>
      <x:c r="J82" s="10" t="n">
        <x:v>0</x:v>
      </x:c>
    </x:row>
    <x:row r="83">
      <x:c r="A83" s="10" t="str">
        <x:v>LOC126282181</x:v>
      </x:c>
      <x:c r="B83" s="10" t="str">
        <x:v>Belongs to the type-B carboxylesterase lipase family</x:v>
      </x:c>
      <x:c r="C83" s="10" t="str">
        <x:v>-</x:v>
      </x:c>
      <x:c r="D83" s="10" t="str">
        <x:v>Top DEG</x:v>
      </x:c>
      <x:c r="E83" s="10" t="str">
        <x:v>Nutrition/metabolism</x:v>
      </x:c>
      <x:c r="F83" s="10" t="str">
        <x:v>DEG</x:v>
      </x:c>
      <x:c r="G83" s="10" t="str">
        <x:v>33, 50, 83</x:v>
      </x:c>
      <x:c r="H83" s="10" t="str">
        <x:v>Higher in infected</x:v>
      </x:c>
      <x:c r="I83" s="10" t="n">
        <x:v>3.4216452972945497e-16</x:v>
      </x:c>
      <x:c r="J83" s="10" t="n">
        <x:v>5.49907498930785</x:v>
      </x:c>
    </x:row>
    <x:row r="84">
      <x:c r="A84" s="10" t="str">
        <x:v>LOC126284651</x:v>
      </x:c>
      <x:c r="B84" s="10" t="str">
        <x:v>Phosphoric diester hydrolase activity. It is involved in the biological process described with lipid metabolic process</x:v>
      </x:c>
      <x:c r="C84" s="10" t="str">
        <x:v>-</x:v>
      </x:c>
      <x:c r="D84" s="10" t="str">
        <x:v>Functional candidate</x:v>
      </x:c>
      <x:c r="E84" s="10" t="str">
        <x:v>Nutrition/metabolism</x:v>
      </x:c>
      <x:c r="F84" s="10" t="str">
        <x:v>DEG</x:v>
      </x:c>
      <x:c r="G84" s="10" t="str">
        <x:v>33, 50, 83</x:v>
      </x:c>
      <x:c r="H84" s="10" t="str">
        <x:v>Higher in infected</x:v>
      </x:c>
      <x:c r="I84" s="10" t="n">
        <x:v>1.61047596776996e-8</x:v>
      </x:c>
      <x:c r="J84" s="10" t="n">
        <x:v>4.0622663974913</x:v>
      </x:c>
    </x:row>
    <x:row r="85">
      <x:c r="A85" s="10" t="str">
        <x:v>LOC126284855</x:v>
      </x:c>
      <x:c r="B85" s="10" t="str">
        <x:v>transferase activity, transferring hexosyl groups. It is involved in the biological process described with metabolic process</x:v>
      </x:c>
      <x:c r="C85" s="10" t="str">
        <x:v>-</x:v>
      </x:c>
      <x:c r="D85" s="10" t="str">
        <x:v>Functional candidate</x:v>
      </x:c>
      <x:c r="E85" s="10" t="str">
        <x:v>Nutrition/metabolism</x:v>
      </x:c>
      <x:c r="F85" s="10" t="str">
        <x:v>Not DEG</x:v>
      </x:c>
      <x:c r="G85" s="10" t="str"/>
      <x:c r="H85" s="10" t="str"/>
      <x:c r="I85" s="10" t="str"/>
      <x:c r="J85" s="10" t="n">
        <x:v>0</x:v>
      </x:c>
    </x:row>
    <x:row r="86">
      <x:c r="A86" s="10" t="str">
        <x:v>LOC126285457</x:v>
      </x:c>
      <x:c r="B86" s="10" t="str">
        <x:v>Catalyzes the reduction of fatty acyl-CoA to fatty alcohols</x:v>
      </x:c>
      <x:c r="C86" s="10" t="str">
        <x:v>-</x:v>
      </x:c>
      <x:c r="D86" s="10" t="str">
        <x:v>Top DEG</x:v>
      </x:c>
      <x:c r="E86" s="10" t="str">
        <x:v>Nutrition/metabolism</x:v>
      </x:c>
      <x:c r="F86" s="10" t="str">
        <x:v>DEG</x:v>
      </x:c>
      <x:c r="G86" s="10" t="str">
        <x:v>33, 50, 83</x:v>
      </x:c>
      <x:c r="H86" s="10" t="str">
        <x:v>Higher in infected</x:v>
      </x:c>
      <x:c r="I86" s="10" t="n">
        <x:v>5.44902924972872e-12</x:v>
      </x:c>
      <x:c r="J86" s="10" t="n">
        <x:v>3.10088461946891</x:v>
      </x:c>
    </x:row>
    <x:row r="87">
      <x:c r="A87" s="10" t="str">
        <x:v>LOC126327137</x:v>
      </x:c>
      <x:c r="B87" s="10" t="str">
        <x:v>Belongs to the type-B carboxylesterase lipase family</x:v>
      </x:c>
      <x:c r="C87" s="10" t="str">
        <x:v>-</x:v>
      </x:c>
      <x:c r="D87" s="10" t="str">
        <x:v>Functional candidate</x:v>
      </x:c>
      <x:c r="E87" s="10" t="str">
        <x:v>Nutrition/metabolism</x:v>
      </x:c>
      <x:c r="F87" s="10" t="str">
        <x:v>Not DEG</x:v>
      </x:c>
      <x:c r="G87" s="10" t="str"/>
      <x:c r="H87" s="10" t="str"/>
      <x:c r="I87" s="10" t="str"/>
      <x:c r="J87" s="10" t="n">
        <x:v>0</x:v>
      </x:c>
    </x:row>
    <x:row r="88">
      <x:c r="A88" s="10" t="str">
        <x:v>LOC126332010</x:v>
      </x:c>
      <x:c r="B88" s="10" t="str">
        <x:v>Kazal type serine protease inhibitors</x:v>
      </x:c>
      <x:c r="C88" s="10" t="str">
        <x:v>-</x:v>
      </x:c>
      <x:c r="D88" s="10" t="str">
        <x:v>Functional candidate</x:v>
      </x:c>
      <x:c r="E88" s="10" t="str">
        <x:v>Nutrition/metabolism</x:v>
      </x:c>
      <x:c r="F88" s="10" t="str">
        <x:v>Not DEG</x:v>
      </x:c>
      <x:c r="G88" s="10" t="str"/>
      <x:c r="H88" s="10" t="str"/>
      <x:c r="I88" s="10" t="str"/>
      <x:c r="J88" s="10" t="n">
        <x:v>0</x:v>
      </x:c>
    </x:row>
    <x:row r="89">
      <x:c r="A89" s="10" t="str">
        <x:v>LOC126335114</x:v>
      </x:c>
      <x:c r="B89" s="10" t="str">
        <x:v>Belongs to the type-B carboxylesterase lipase family</x:v>
      </x:c>
      <x:c r="C89" s="10" t="str">
        <x:v>-</x:v>
      </x:c>
      <x:c r="D89" s="10" t="str">
        <x:v>Functional candidate</x:v>
      </x:c>
      <x:c r="E89" s="10" t="str">
        <x:v>Nutrition/metabolism</x:v>
      </x:c>
      <x:c r="F89" s="10" t="str">
        <x:v>DEG</x:v>
      </x:c>
      <x:c r="G89" s="10" t="str">
        <x:v>33, 50, 83</x:v>
      </x:c>
      <x:c r="H89" s="10" t="str">
        <x:v>Higher in infected</x:v>
      </x:c>
      <x:c r="I89" s="10" t="n">
        <x:v>8.41586950990227e-11</x:v>
      </x:c>
      <x:c r="J89" s="10" t="n">
        <x:v>4.21889780587881</x:v>
      </x:c>
    </x:row>
    <x:row r="90">
      <x:c r="A90" s="10" t="str">
        <x:v>LOC126335115</x:v>
      </x:c>
      <x:c r="B90" s="10" t="str">
        <x:v>Belongs to the type-B carboxylesterase lipase family</x:v>
      </x:c>
      <x:c r="C90" s="10" t="str">
        <x:v>-</x:v>
      </x:c>
      <x:c r="D90" s="10" t="str">
        <x:v>Top DEG</x:v>
      </x:c>
      <x:c r="E90" s="10" t="str">
        <x:v>Nutrition/metabolism</x:v>
      </x:c>
      <x:c r="F90" s="10" t="str">
        <x:v>DEG</x:v>
      </x:c>
      <x:c r="G90" s="10" t="str">
        <x:v>33, 50, 83</x:v>
      </x:c>
      <x:c r="H90" s="10" t="str">
        <x:v>Higher in infected</x:v>
      </x:c>
      <x:c r="I90" s="10" t="n">
        <x:v>7.179549187649439e-12</x:v>
      </x:c>
      <x:c r="J90" s="10" t="n">
        <x:v>6.10000972413095</x:v>
      </x:c>
    </x:row>
    <x:row r="91">
      <x:c r="A91" s="10" t="str">
        <x:v>LOC126336688</x:v>
      </x:c>
      <x:c r="B91" s="10" t="str">
        <x:v>Transmembrane transporter activity. It is involved in the biological process described with transmembrane transport</x:v>
      </x:c>
      <x:c r="C91" s="10" t="str">
        <x:v>-</x:v>
      </x:c>
      <x:c r="D91" s="10" t="str">
        <x:v>Functional candidate</x:v>
      </x:c>
      <x:c r="E91" s="10" t="str">
        <x:v>Nutrition/metabolism</x:v>
      </x:c>
      <x:c r="F91" s="10" t="str">
        <x:v>DEG</x:v>
      </x:c>
      <x:c r="G91" s="10" t="str">
        <x:v>33, 50, 83</x:v>
      </x:c>
      <x:c r="H91" s="10" t="str">
        <x:v>Higher in infected</x:v>
      </x:c>
      <x:c r="I91" s="10" t="n">
        <x:v>1.72756411193238e-10</x:v>
      </x:c>
      <x:c r="J91" s="10" t="n">
        <x:v>3.61479096949681</x:v>
      </x:c>
    </x:row>
    <x:row r="92">
      <x:c r="A92" s="10" t="str">
        <x:v>LOC126336923</x:v>
      </x:c>
      <x:c r="B92" s="10" t="str">
        <x:v>chitin binding. It is involved in the biological process described with chitin metabolic process</x:v>
      </x:c>
      <x:c r="C92" s="10" t="str">
        <x:v>-</x:v>
      </x:c>
      <x:c r="D92" s="10" t="str">
        <x:v>Functional candidate</x:v>
      </x:c>
      <x:c r="E92" s="10" t="str">
        <x:v>Nutrition/metabolism</x:v>
      </x:c>
      <x:c r="F92" s="10" t="str">
        <x:v>Not DEG</x:v>
      </x:c>
      <x:c r="G92" s="10" t="str"/>
      <x:c r="H92" s="10" t="str"/>
      <x:c r="I92" s="10" t="str"/>
      <x:c r="J92" s="10" t="n">
        <x:v>0</x:v>
      </x:c>
    </x:row>
    <x:row r="93">
      <x:c r="A93" s="10" t="str">
        <x:v>LOC126354062</x:v>
      </x:c>
      <x:c r="B93" s="10" t="str">
        <x:v>Belongs to the type-B carboxylesterase lipase family</x:v>
      </x:c>
      <x:c r="C93" s="10" t="str">
        <x:v>-</x:v>
      </x:c>
      <x:c r="D93" s="10" t="str">
        <x:v>Functional candidate</x:v>
      </x:c>
      <x:c r="E93" s="10" t="str">
        <x:v>Nutrition/metabolism</x:v>
      </x:c>
      <x:c r="F93" s="10" t="str">
        <x:v>Not DEG</x:v>
      </x:c>
      <x:c r="G93" s="10" t="str"/>
      <x:c r="H93" s="10" t="str"/>
      <x:c r="I93" s="10" t="str"/>
      <x:c r="J93" s="10" t="n">
        <x:v>0</x:v>
      </x:c>
    </x:row>
    <x:row r="94">
      <x:c r="A94" s="10" t="str">
        <x:v>LOC126354065</x:v>
      </x:c>
      <x:c r="B94" s="10" t="str">
        <x:v>Belongs to the type-B carboxylesterase lipase family</x:v>
      </x:c>
      <x:c r="C94" s="10" t="str">
        <x:v>-</x:v>
      </x:c>
      <x:c r="D94" s="10" t="str">
        <x:v>Functional candidate</x:v>
      </x:c>
      <x:c r="E94" s="10" t="str">
        <x:v>Nutrition/metabolism</x:v>
      </x:c>
      <x:c r="F94" s="10" t="str">
        <x:v>Not DEG</x:v>
      </x:c>
      <x:c r="G94" s="10" t="str"/>
      <x:c r="H94" s="10" t="str"/>
      <x:c r="I94" s="10" t="str"/>
      <x:c r="J94" s="10" t="n">
        <x:v>0</x:v>
      </x:c>
    </x:row>
    <x:row r="95">
      <x:c r="A95" s="10" t="str">
        <x:v>LOC126354316</x:v>
      </x:c>
      <x:c r="B95" s="10" t="str">
        <x:v>Belongs to the type-B carboxylesterase lipase family</x:v>
      </x:c>
      <x:c r="C95" s="10" t="str">
        <x:v>-</x:v>
      </x:c>
      <x:c r="D95" s="10" t="str">
        <x:v>Functional candidate</x:v>
      </x:c>
      <x:c r="E95" s="10" t="str">
        <x:v>Nutrition/metabolism</x:v>
      </x:c>
      <x:c r="F95" s="10" t="str">
        <x:v>Not DEG</x:v>
      </x:c>
      <x:c r="G95" s="10" t="str"/>
      <x:c r="H95" s="10" t="str"/>
      <x:c r="I95" s="10" t="str"/>
      <x:c r="J95" s="10" t="n">
        <x:v>0</x:v>
      </x:c>
    </x:row>
    <x:row r="96">
      <x:c r="A96" s="10" t="str">
        <x:v>LOC126354457</x:v>
      </x:c>
      <x:c r="B96" s="10" t="str">
        <x:v>Belongs to the type-B carboxylesterase lipase family</x:v>
      </x:c>
      <x:c r="C96" s="10" t="str">
        <x:v>-</x:v>
      </x:c>
      <x:c r="D96" s="10" t="str">
        <x:v>Functional candidate</x:v>
      </x:c>
      <x:c r="E96" s="10" t="str">
        <x:v>Nutrition/metabolism</x:v>
      </x:c>
      <x:c r="F96" s="10" t="str">
        <x:v>Not DEG</x:v>
      </x:c>
      <x:c r="G96" s="10" t="str"/>
      <x:c r="H96" s="10" t="str"/>
      <x:c r="I96" s="10" t="str"/>
      <x:c r="J96" s="10" t="n">
        <x:v>0</x:v>
      </x:c>
    </x:row>
    <x:row r="97">
      <x:c r="A97" s="10" t="str">
        <x:v>LOC126354579</x:v>
      </x:c>
      <x:c r="B97" s="10" t="str">
        <x:v>Belongs to the major facilitator superfamily. Sugar transporter (TC 2.A.1.1) family</x:v>
      </x:c>
      <x:c r="C97" s="10" t="str">
        <x:v>-</x:v>
      </x:c>
      <x:c r="D97" s="10" t="str">
        <x:v>Top DEG</x:v>
      </x:c>
      <x:c r="E97" s="10" t="str">
        <x:v>Nutrition/metabolism</x:v>
      </x:c>
      <x:c r="F97" s="10" t="str">
        <x:v>DEG</x:v>
      </x:c>
      <x:c r="G97" s="10" t="str">
        <x:v>33, 50, 83</x:v>
      </x:c>
      <x:c r="H97" s="10" t="str">
        <x:v>Higher in infected</x:v>
      </x:c>
      <x:c r="I97" s="10" t="n">
        <x:v>7.04639836721209e-10</x:v>
      </x:c>
      <x:c r="J97" s="10" t="n">
        <x:v>3.87512817382455</x:v>
      </x:c>
    </x:row>
    <x:row r="98">
      <x:c r="A98" s="10" t="str">
        <x:v>LOC126354656</x:v>
      </x:c>
      <x:c r="B98" s="10" t="str">
        <x:v>Vault protein inter-alpha-trypsin domain</x:v>
      </x:c>
      <x:c r="C98" s="10" t="str">
        <x:v>-</x:v>
      </x:c>
      <x:c r="D98" s="10" t="str">
        <x:v>Functional candidate</x:v>
      </x:c>
      <x:c r="E98" s="10" t="str">
        <x:v>Nutrition/metabolism</x:v>
      </x:c>
      <x:c r="F98" s="10" t="str">
        <x:v>DEG</x:v>
      </x:c>
      <x:c r="G98" s="10" t="str">
        <x:v>33, 50, 83</x:v>
      </x:c>
      <x:c r="H98" s="10" t="str">
        <x:v>Higher in infected</x:v>
      </x:c>
      <x:c r="I98" s="10" t="n">
        <x:v>7.0334196974963904e-9</x:v>
      </x:c>
      <x:c r="J98" s="10" t="n">
        <x:v>6.0544399003456</x:v>
      </x:c>
    </x:row>
    <x:row r="99">
      <x:c r="A99" s="10" t="str">
        <x:v>LOC126354750</x:v>
      </x:c>
      <x:c r="B99" s="10" t="str">
        <x:v>amino acid transporter</x:v>
      </x:c>
      <x:c r="C99" s="10" t="str">
        <x:v>-</x:v>
      </x:c>
      <x:c r="D99" s="10" t="str">
        <x:v>Functional candidate</x:v>
      </x:c>
      <x:c r="E99" s="10" t="str">
        <x:v>Nutrition/metabolism</x:v>
      </x:c>
      <x:c r="F99" s="10" t="str">
        <x:v>Not DEG</x:v>
      </x:c>
      <x:c r="G99" s="10" t="str"/>
      <x:c r="H99" s="10" t="str"/>
      <x:c r="I99" s="10" t="str"/>
      <x:c r="J99" s="10" t="n">
        <x:v>0</x:v>
      </x:c>
    </x:row>
    <x:row r="100">
      <x:c r="A100" s="10" t="str">
        <x:v>LOC126354995</x:v>
      </x:c>
      <x:c r="B100" s="10" t="str">
        <x:v>carboxy-lyase activity. It is involved in the biological process described with carboxylic acid metabolic process</x:v>
      </x:c>
      <x:c r="C100" s="10" t="str">
        <x:v>-</x:v>
      </x:c>
      <x:c r="D100" s="10" t="str">
        <x:v>Top DEG</x:v>
      </x:c>
      <x:c r="E100" s="10" t="str">
        <x:v>Nutrition/metabolism</x:v>
      </x:c>
      <x:c r="F100" s="10" t="str">
        <x:v>DEG</x:v>
      </x:c>
      <x:c r="G100" s="10" t="str">
        <x:v>33, 50, 83</x:v>
      </x:c>
      <x:c r="H100" s="10" t="str">
        <x:v>Higher in infected</x:v>
      </x:c>
      <x:c r="I100" s="10" t="n">
        <x:v>9.65583564068521e-12</x:v>
      </x:c>
      <x:c r="J100" s="10" t="n">
        <x:v>7.05533664781596</x:v>
      </x:c>
    </x:row>
    <x:row r="101">
      <x:c r="A101" s="10" t="str">
        <x:v>LOC126355303</x:v>
      </x:c>
      <x:c r="B101" s="10" t="str">
        <x:v>Transporter activity. It is involved in the biological process described with transmembrane transport</x:v>
      </x:c>
      <x:c r="C101" s="10" t="str">
        <x:v>-</x:v>
      </x:c>
      <x:c r="D101" s="10" t="str">
        <x:v>Functional candidate</x:v>
      </x:c>
      <x:c r="E101" s="10" t="str">
        <x:v>Nutrition/metabolism</x:v>
      </x:c>
      <x:c r="F101" s="10" t="str">
        <x:v>DEG</x:v>
      </x:c>
      <x:c r="G101" s="10" t="str">
        <x:v>33, 50, 83</x:v>
      </x:c>
      <x:c r="H101" s="10" t="str">
        <x:v>Higher in infected</x:v>
      </x:c>
      <x:c r="I101" s="10" t="n">
        <x:v>1.86352494824928e-8</x:v>
      </x:c>
      <x:c r="J101" s="10" t="n">
        <x:v>3.66802924138596</x:v>
      </x:c>
    </x:row>
    <x:row r="102">
      <x:c r="A102" s="10" t="str">
        <x:v>LOC126355590</x:v>
      </x:c>
      <x:c r="B102" s="10" t="str">
        <x:v>Vault protein inter-alpha-trypsin domain</x:v>
      </x:c>
      <x:c r="C102" s="10" t="str">
        <x:v>-</x:v>
      </x:c>
      <x:c r="D102" s="10" t="str">
        <x:v>Functional candidate</x:v>
      </x:c>
      <x:c r="E102" s="10" t="str">
        <x:v>Nutrition/metabolism</x:v>
      </x:c>
      <x:c r="F102" s="10" t="str">
        <x:v>DEG</x:v>
      </x:c>
      <x:c r="G102" s="10" t="str">
        <x:v>33, 50</x:v>
      </x:c>
      <x:c r="H102" s="10" t="str">
        <x:v>Higher in infected</x:v>
      </x:c>
      <x:c r="I102" s="10" t="n">
        <x:v>8.38665152429583e-10</x:v>
      </x:c>
      <x:c r="J102" s="10" t="n">
        <x:v>8.24809220003593</x:v>
      </x:c>
    </x:row>
    <x:row r="103">
      <x:c r="A103" s="10" t="str">
        <x:v>LOC126355691</x:v>
      </x:c>
      <x:c r="B103" s="10" t="str">
        <x:v>Vault protein inter-alpha-trypsin domain</x:v>
      </x:c>
      <x:c r="C103" s="10" t="str">
        <x:v>-</x:v>
      </x:c>
      <x:c r="D103" s="10" t="str">
        <x:v>Functional candidate</x:v>
      </x:c>
      <x:c r="E103" s="10" t="str">
        <x:v>Nutrition/metabolism</x:v>
      </x:c>
      <x:c r="F103" s="10" t="str">
        <x:v>DEG</x:v>
      </x:c>
      <x:c r="G103" s="10" t="str">
        <x:v>33, 50</x:v>
      </x:c>
      <x:c r="H103" s="10" t="str">
        <x:v>Higher in infected</x:v>
      </x:c>
      <x:c r="I103" s="10" t="n">
        <x:v>2.83534759444562e-8</x:v>
      </x:c>
      <x:c r="J103" s="10" t="n">
        <x:v>4.87122588437506</x:v>
      </x:c>
    </x:row>
    <x:row r="104">
      <x:c r="A104" s="10" t="str">
        <x:v>LOC126355818</x:v>
      </x:c>
      <x:c r="B104" s="10" t="str">
        <x:v>activity. It is involved in the biological process described with carbohydrate metabolic process</x:v>
      </x:c>
      <x:c r="C104" s="10" t="str">
        <x:v>-</x:v>
      </x:c>
      <x:c r="D104" s="10" t="str">
        <x:v>Functional candidate</x:v>
      </x:c>
      <x:c r="E104" s="10" t="str">
        <x:v>Nutrition/metabolism</x:v>
      </x:c>
      <x:c r="F104" s="10" t="str">
        <x:v>Not DEG</x:v>
      </x:c>
      <x:c r="G104" s="10" t="str"/>
      <x:c r="H104" s="10" t="str"/>
      <x:c r="I104" s="10" t="str"/>
      <x:c r="J104" s="10" t="n">
        <x:v>0</x:v>
      </x:c>
    </x:row>
    <x:row r="105">
      <x:c r="A105" s="10" t="str">
        <x:v>LOC126355939</x:v>
      </x:c>
      <x:c r="B105" s="10" t="str">
        <x:v>amino acid transporter</x:v>
      </x:c>
      <x:c r="C105" s="10" t="str">
        <x:v>-</x:v>
      </x:c>
      <x:c r="D105" s="10" t="str">
        <x:v>Top DEG</x:v>
      </x:c>
      <x:c r="E105" s="10" t="str">
        <x:v>Nutrition/metabolism</x:v>
      </x:c>
      <x:c r="F105" s="10" t="str">
        <x:v>DEG</x:v>
      </x:c>
      <x:c r="G105" s="10" t="str">
        <x:v>33, 50, 83</x:v>
      </x:c>
      <x:c r="H105" s="10" t="str">
        <x:v>Higher in infected</x:v>
      </x:c>
      <x:c r="I105" s="10" t="n">
        <x:v>7.75954769050109e-16</x:v>
      </x:c>
      <x:c r="J105" s="10" t="n">
        <x:v>6.41607498738989</x:v>
      </x:c>
    </x:row>
    <x:row r="106">
      <x:c r="A106" s="10" t="str">
        <x:v>LOC126355940</x:v>
      </x:c>
      <x:c r="B106" s="10" t="str">
        <x:v>amino acid transporter</x:v>
      </x:c>
      <x:c r="C106" s="10" t="str">
        <x:v>-</x:v>
      </x:c>
      <x:c r="D106" s="10" t="str">
        <x:v>Functional candidate</x:v>
      </x:c>
      <x:c r="E106" s="10" t="str">
        <x:v>Nutrition/metabolism</x:v>
      </x:c>
      <x:c r="F106" s="10" t="str">
        <x:v>DEG</x:v>
      </x:c>
      <x:c r="G106" s="10" t="str">
        <x:v>33, 50, 83</x:v>
      </x:c>
      <x:c r="H106" s="10" t="str">
        <x:v>Higher in infected</x:v>
      </x:c>
      <x:c r="I106" s="10" t="n">
        <x:v>6.5542094659254206e-9</x:v>
      </x:c>
      <x:c r="J106" s="10" t="n">
        <x:v>3.7724295447685</x:v>
      </x:c>
    </x:row>
    <x:row r="107">
      <x:c r="A107" s="10" t="str">
        <x:v>LOC126355964</x:v>
      </x:c>
      <x:c r="B107" s="10" t="str">
        <x:v>It is involved in the biological process described with metabolic process</x:v>
      </x:c>
      <x:c r="C107" s="10" t="str">
        <x:v>-</x:v>
      </x:c>
      <x:c r="D107" s="10" t="str">
        <x:v>Functional candidate</x:v>
      </x:c>
      <x:c r="E107" s="10" t="str">
        <x:v>Nutrition/metabolism</x:v>
      </x:c>
      <x:c r="F107" s="10" t="str">
        <x:v>Not DEG</x:v>
      </x:c>
      <x:c r="G107" s="10" t="str"/>
      <x:c r="H107" s="10" t="str"/>
      <x:c r="I107" s="10" t="str"/>
      <x:c r="J107" s="10" t="n">
        <x:v>0</x:v>
      </x:c>
    </x:row>
    <x:row r="108">
      <x:c r="A108" s="10" t="str">
        <x:v>LOC126355971</x:v>
      </x:c>
      <x:c r="B108" s="10" t="str">
        <x:v>Belongs to the type-B carboxylesterase lipase family</x:v>
      </x:c>
      <x:c r="C108" s="10" t="str">
        <x:v>-</x:v>
      </x:c>
      <x:c r="D108" s="10" t="str">
        <x:v>Functional candidate</x:v>
      </x:c>
      <x:c r="E108" s="10" t="str">
        <x:v>Nutrition/metabolism</x:v>
      </x:c>
      <x:c r="F108" s="10" t="str">
        <x:v>Not DEG</x:v>
      </x:c>
      <x:c r="G108" s="10" t="str"/>
      <x:c r="H108" s="10" t="str"/>
      <x:c r="I108" s="10" t="str"/>
      <x:c r="J108" s="10" t="n">
        <x:v>0</x:v>
      </x:c>
    </x:row>
    <x:row r="109">
      <x:c r="A109" s="10" t="str">
        <x:v>LOC126355972</x:v>
      </x:c>
      <x:c r="B109" s="10" t="str">
        <x:v>Belongs to the type-B carboxylesterase lipase family</x:v>
      </x:c>
      <x:c r="C109" s="10" t="str">
        <x:v>-</x:v>
      </x:c>
      <x:c r="D109" s="10" t="str">
        <x:v>Functional candidate</x:v>
      </x:c>
      <x:c r="E109" s="10" t="str">
        <x:v>Nutrition/metabolism</x:v>
      </x:c>
      <x:c r="F109" s="10" t="str">
        <x:v>Not DEG</x:v>
      </x:c>
      <x:c r="G109" s="10" t="str"/>
      <x:c r="H109" s="10" t="str"/>
      <x:c r="I109" s="10" t="str"/>
      <x:c r="J109" s="10" t="n">
        <x:v>0</x:v>
      </x:c>
    </x:row>
    <x:row r="110">
      <x:c r="A110" s="10" t="str">
        <x:v>LOC126267295</x:v>
      </x:c>
      <x:c r="B110" s="10" t="str">
        <x:v>Fibrinogen-related domains (FReDs)</x:v>
      </x:c>
      <x:c r="C110" s="10" t="str">
        <x:v>-</x:v>
      </x:c>
      <x:c r="D110" s="10" t="str">
        <x:v>Top DEG</x:v>
      </x:c>
      <x:c r="E110" s="10" t="str">
        <x:v>Other strong DEG</x:v>
      </x:c>
      <x:c r="F110" s="10" t="str">
        <x:v>DEG</x:v>
      </x:c>
      <x:c r="G110" s="10" t="str">
        <x:v>33, 50, 83</x:v>
      </x:c>
      <x:c r="H110" s="10" t="str">
        <x:v>Higher in control</x:v>
      </x:c>
      <x:c r="I110" s="10" t="n">
        <x:v>4.18567024972421e-7</x:v>
      </x:c>
      <x:c r="J110" s="10" t="n">
        <x:v>1.94616246635661</x:v>
      </x:c>
    </x:row>
    <x:row r="111">
      <x:c r="A111" s="10" t="str">
        <x:v>LOC126271634</x:v>
      </x:c>
      <x:c r="B111" s="10" t="str">
        <x:v>zinc metalloproteinase</x:v>
      </x:c>
      <x:c r="C111" s="10" t="str">
        <x:v>-</x:v>
      </x:c>
      <x:c r="D111" s="10" t="str">
        <x:v>Top DEG</x:v>
      </x:c>
      <x:c r="E111" s="10" t="str">
        <x:v>Other strong DEG</x:v>
      </x:c>
      <x:c r="F111" s="10" t="str">
        <x:v>DEG</x:v>
      </x:c>
      <x:c r="G111" s="10" t="str">
        <x:v>33, 50, 83</x:v>
      </x:c>
      <x:c r="H111" s="10" t="str">
        <x:v>Higher in infected</x:v>
      </x:c>
      <x:c r="I111" s="10" t="n">
        <x:v>5.06034474238546e-13</x:v>
      </x:c>
      <x:c r="J111" s="10" t="n">
        <x:v>7.7859257880374</x:v>
      </x:c>
    </x:row>
    <x:row r="112">
      <x:c r="A112" s="10" t="str">
        <x:v>LOC126272860</x:v>
      </x:c>
      <x:c r="B112" s="10" t="str">
        <x:v>-</x:v>
      </x:c>
      <x:c r="C112" s="10" t="str">
        <x:v>-</x:v>
      </x:c>
      <x:c r="D112" s="10" t="str">
        <x:v>Top DEG</x:v>
      </x:c>
      <x:c r="E112" s="10" t="str">
        <x:v>Other strong DEG</x:v>
      </x:c>
      <x:c r="F112" s="10" t="str">
        <x:v>DEG</x:v>
      </x:c>
      <x:c r="G112" s="10" t="str">
        <x:v>33, 50, 83</x:v>
      </x:c>
      <x:c r="H112" s="10" t="str">
        <x:v>Higher in control</x:v>
      </x:c>
      <x:c r="I112" s="10" t="n">
        <x:v>1.9178405851941204e-9</x:v>
      </x:c>
      <x:c r="J112" s="10" t="n">
        <x:v>4.62995187907849</x:v>
      </x:c>
    </x:row>
    <x:row r="113">
      <x:c r="A113" s="10" t="str">
        <x:v>LOC126273060</x:v>
      </x:c>
      <x:c r="B113" s="10" t="str"/>
      <x:c r="C113" s="10" t="str"/>
      <x:c r="D113" s="10" t="str">
        <x:v>Top DEG</x:v>
      </x:c>
      <x:c r="E113" s="10" t="str">
        <x:v>Other strong DEG</x:v>
      </x:c>
      <x:c r="F113" s="10" t="str">
        <x:v>DEG</x:v>
      </x:c>
      <x:c r="G113" s="10" t="str">
        <x:v>33, 50, 83</x:v>
      </x:c>
      <x:c r="H113" s="10" t="str">
        <x:v>Higher in infected</x:v>
      </x:c>
      <x:c r="I113" s="10" t="n">
        <x:v>3.86825470692124e-10</x:v>
      </x:c>
      <x:c r="J113" s="10" t="n">
        <x:v>6.84369850868987</x:v>
      </x:c>
    </x:row>
    <x:row r="114">
      <x:c r="A114" s="10" t="str">
        <x:v>LOC126273412</x:v>
      </x:c>
      <x:c r="B114" s="10" t="str"/>
      <x:c r="C114" s="10" t="str"/>
      <x:c r="D114" s="10" t="str">
        <x:v>Top DEG</x:v>
      </x:c>
      <x:c r="E114" s="10" t="str">
        <x:v>Other strong DEG</x:v>
      </x:c>
      <x:c r="F114" s="10" t="str">
        <x:v>DEG</x:v>
      </x:c>
      <x:c r="G114" s="10" t="str">
        <x:v>33, 50, 83</x:v>
      </x:c>
      <x:c r="H114" s="10" t="str">
        <x:v>Higher in infected</x:v>
      </x:c>
      <x:c r="I114" s="10" t="n">
        <x:v>3.93858595577389e-9</x:v>
      </x:c>
      <x:c r="J114" s="10" t="n">
        <x:v>4.29990412115836</x:v>
      </x:c>
    </x:row>
    <x:row r="115">
      <x:c r="A115" s="10" t="str">
        <x:v>LOC126278049</x:v>
      </x:c>
      <x:c r="B115" s="10" t="str">
        <x:v>SOCS_box</x:v>
      </x:c>
      <x:c r="C115" s="10" t="str">
        <x:v>-</x:v>
      </x:c>
      <x:c r="D115" s="10" t="str">
        <x:v>Top DEG</x:v>
      </x:c>
      <x:c r="E115" s="10" t="str">
        <x:v>Other strong DEG</x:v>
      </x:c>
      <x:c r="F115" s="10" t="str">
        <x:v>DEG</x:v>
      </x:c>
      <x:c r="G115" s="10" t="str">
        <x:v>33, 50, 83</x:v>
      </x:c>
      <x:c r="H115" s="10" t="str">
        <x:v>Higher in infected</x:v>
      </x:c>
      <x:c r="I115" s="10" t="n">
        <x:v>1.60009209069604e-13</x:v>
      </x:c>
      <x:c r="J115" s="10" t="n">
        <x:v>2.87648977367332</x:v>
      </x:c>
    </x:row>
    <x:row r="116">
      <x:c r="A116" s="10" t="str">
        <x:v>LOC126278485</x:v>
      </x:c>
      <x:c r="B116" s="10" t="str">
        <x:v>Pyridoxal-dependent decarboxylase, pyridoxal binding domain</x:v>
      </x:c>
      <x:c r="C116" s="10" t="str">
        <x:v>-</x:v>
      </x:c>
      <x:c r="D116" s="10" t="str">
        <x:v>Top DEG</x:v>
      </x:c>
      <x:c r="E116" s="10" t="str">
        <x:v>Other strong DEG</x:v>
      </x:c>
      <x:c r="F116" s="10" t="str">
        <x:v>DEG</x:v>
      </x:c>
      <x:c r="G116" s="10" t="str">
        <x:v>33, 50</x:v>
      </x:c>
      <x:c r="H116" s="10" t="str">
        <x:v>Higher in control</x:v>
      </x:c>
      <x:c r="I116" s="10" t="n">
        <x:v>3.41637582070615e-13</x:v>
      </x:c>
      <x:c r="J116" s="10" t="n">
        <x:v>8.36232441493486</x:v>
      </x:c>
    </x:row>
    <x:row r="117">
      <x:c r="A117" s="10" t="str">
        <x:v>LOC126278673</x:v>
      </x:c>
      <x:c r="B117" s="10" t="str">
        <x:v>DNA binding. It is involved in the biological process described with regulation of transcription, DNA-templated</x:v>
      </x:c>
      <x:c r="C117" s="10" t="str">
        <x:v>-</x:v>
      </x:c>
      <x:c r="D117" s="10" t="str">
        <x:v>Top DEG</x:v>
      </x:c>
      <x:c r="E117" s="10" t="str">
        <x:v>Other strong DEG</x:v>
      </x:c>
      <x:c r="F117" s="10" t="str">
        <x:v>DEG</x:v>
      </x:c>
      <x:c r="G117" s="10" t="str">
        <x:v>33, 50, 83</x:v>
      </x:c>
      <x:c r="H117" s="10" t="str">
        <x:v>Higher in infected</x:v>
      </x:c>
      <x:c r="I117" s="10" t="n">
        <x:v>4.04859184643362e-12</x:v>
      </x:c>
      <x:c r="J117" s="10" t="n">
        <x:v>4.6578852094094</x:v>
      </x:c>
    </x:row>
    <x:row r="118">
      <x:c r="A118" s="10" t="str">
        <x:v>LOC126278962</x:v>
      </x:c>
      <x:c r="B118" s="10" t="str">
        <x:v>-</x:v>
      </x:c>
      <x:c r="C118" s="10" t="str">
        <x:v>-</x:v>
      </x:c>
      <x:c r="D118" s="10" t="str">
        <x:v>Top DEG</x:v>
      </x:c>
      <x:c r="E118" s="10" t="str">
        <x:v>Other strong DEG</x:v>
      </x:c>
      <x:c r="F118" s="10" t="str">
        <x:v>DEG</x:v>
      </x:c>
      <x:c r="G118" s="10" t="str">
        <x:v>33, 50, 83</x:v>
      </x:c>
      <x:c r="H118" s="10" t="str">
        <x:v>Higher in infected</x:v>
      </x:c>
      <x:c r="I118" s="10" t="n">
        <x:v>1.21604428195275e-13</x:v>
      </x:c>
      <x:c r="J118" s="10" t="n">
        <x:v>3.23379342109336</x:v>
      </x:c>
    </x:row>
    <x:row r="119">
      <x:c r="A119" s="10" t="str">
        <x:v>LOC126279018</x:v>
      </x:c>
      <x:c r="B119" s="10" t="str">
        <x:v>-</x:v>
      </x:c>
      <x:c r="C119" s="10" t="str">
        <x:v>-</x:v>
      </x:c>
      <x:c r="D119" s="10" t="str">
        <x:v>Top DEG</x:v>
      </x:c>
      <x:c r="E119" s="10" t="str">
        <x:v>Other strong DEG</x:v>
      </x:c>
      <x:c r="F119" s="10" t="str">
        <x:v>DEG</x:v>
      </x:c>
      <x:c r="G119" s="10" t="str">
        <x:v>33, 50, 83</x:v>
      </x:c>
      <x:c r="H119" s="10" t="str">
        <x:v>Higher in infected</x:v>
      </x:c>
      <x:c r="I119" s="10" t="n">
        <x:v>6.033061204991e-16</x:v>
      </x:c>
      <x:c r="J119" s="10" t="n">
        <x:v>2.84481805951122</x:v>
      </x:c>
    </x:row>
    <x:row r="120">
      <x:c r="A120" s="10" t="str">
        <x:v>LOC126279309</x:v>
      </x:c>
      <x:c r="B120" s="10" t="str">
        <x:v>Mediator of CRAC channel activity</x:v>
      </x:c>
      <x:c r="C120" s="10" t="str">
        <x:v>-</x:v>
      </x:c>
      <x:c r="D120" s="10" t="str">
        <x:v>Top DEG</x:v>
      </x:c>
      <x:c r="E120" s="10" t="str">
        <x:v>Other strong DEG</x:v>
      </x:c>
      <x:c r="F120" s="10" t="str">
        <x:v>DEG</x:v>
      </x:c>
      <x:c r="G120" s="10" t="str">
        <x:v>33, 50, 83</x:v>
      </x:c>
      <x:c r="H120" s="10" t="str">
        <x:v>Higher in infected</x:v>
      </x:c>
      <x:c r="I120" s="10" t="n">
        <x:v>3.73908858996549e-12</x:v>
      </x:c>
      <x:c r="J120" s="10" t="n">
        <x:v>2.45030036917142</x:v>
      </x:c>
    </x:row>
    <x:row r="121">
      <x:c r="A121" s="10" t="str">
        <x:v>LOC126281297</x:v>
      </x:c>
      <x:c r="B121" s="10" t="str"/>
      <x:c r="C121" s="10" t="str"/>
      <x:c r="D121" s="10" t="str">
        <x:v>Top DEG</x:v>
      </x:c>
      <x:c r="E121" s="10" t="str">
        <x:v>Other strong DEG</x:v>
      </x:c>
      <x:c r="F121" s="10" t="str">
        <x:v>DEG</x:v>
      </x:c>
      <x:c r="G121" s="10" t="str">
        <x:v>33, 50, 83</x:v>
      </x:c>
      <x:c r="H121" s="10" t="str">
        <x:v>Higher in control</x:v>
      </x:c>
      <x:c r="I121" s="10" t="n">
        <x:v>9.28344796434941e-7</x:v>
      </x:c>
      <x:c r="J121" s="10" t="n">
        <x:v>3.47315216183476</x:v>
      </x:c>
    </x:row>
    <x:row r="122">
      <x:c r="A122" s="10" t="str">
        <x:v>LOC126281532</x:v>
      </x:c>
      <x:c r="B122" s="10" t="str">
        <x:v>Transaldolase is important for the balance of metabolites in the pentose-phosphate pathway</x:v>
      </x:c>
      <x:c r="C122" s="10" t="str">
        <x:v>Tal</x:v>
      </x:c>
      <x:c r="D122" s="10" t="str">
        <x:v>Top DEG</x:v>
      </x:c>
      <x:c r="E122" s="10" t="str">
        <x:v>Other strong DEG</x:v>
      </x:c>
      <x:c r="F122" s="10" t="str">
        <x:v>DEG</x:v>
      </x:c>
      <x:c r="G122" s="10" t="str">
        <x:v>33, 50, 83</x:v>
      </x:c>
      <x:c r="H122" s="10" t="str">
        <x:v>Higher in control</x:v>
      </x:c>
      <x:c r="I122" s="10" t="n">
        <x:v>0.00000211809579302498</x:v>
      </x:c>
      <x:c r="J122" s="10" t="n">
        <x:v>1.76476960957824</x:v>
      </x:c>
    </x:row>
    <x:row r="123">
      <x:c r="A123" s="10" t="str">
        <x:v>LOC126281915</x:v>
      </x:c>
      <x:c r="B123" s="10" t="str"/>
      <x:c r="C123" s="10" t="str"/>
      <x:c r="D123" s="10" t="str">
        <x:v>Top DEG</x:v>
      </x:c>
      <x:c r="E123" s="10" t="str">
        <x:v>Other strong DEG</x:v>
      </x:c>
      <x:c r="F123" s="10" t="str">
        <x:v>DEG</x:v>
      </x:c>
      <x:c r="G123" s="10" t="str">
        <x:v>33, 50, 83</x:v>
      </x:c>
      <x:c r="H123" s="10" t="str">
        <x:v>Higher in control</x:v>
      </x:c>
      <x:c r="I123" s="10" t="n">
        <x:v>0.0000255294654664535</x:v>
      </x:c>
      <x:c r="J123" s="10" t="n">
        <x:v>4.74212246574265</x:v>
      </x:c>
    </x:row>
    <x:row r="124">
      <x:c r="A124" s="10" t="str">
        <x:v>LOC126282305</x:v>
      </x:c>
      <x:c r="B124" s="10" t="str">
        <x:v>7tm Odorant receptor</x:v>
      </x:c>
      <x:c r="C124" s="10" t="str">
        <x:v>-</x:v>
      </x:c>
      <x:c r="D124" s="10" t="str">
        <x:v>Top DEG</x:v>
      </x:c>
      <x:c r="E124" s="10" t="str">
        <x:v>Other strong DEG</x:v>
      </x:c>
      <x:c r="F124" s="10" t="str">
        <x:v>DEG</x:v>
      </x:c>
      <x:c r="G124" s="10" t="str">
        <x:v>50</x:v>
      </x:c>
      <x:c r="H124" s="10" t="str">
        <x:v>Higher in control</x:v>
      </x:c>
      <x:c r="I124" s="10" t="n">
        <x:v>3.93635664124481e-7</x:v>
      </x:c>
      <x:c r="J124" s="10" t="n">
        <x:v>2.73624411788202</x:v>
      </x:c>
    </x:row>
    <x:row r="125">
      <x:c r="A125" s="10" t="str">
        <x:v>LOC126283383</x:v>
      </x:c>
      <x:c r="B125" s="10" t="str">
        <x:v>Converts protoheme IX and farnesyl diphosphate to heme O</x:v>
      </x:c>
      <x:c r="C125" s="10" t="str">
        <x:v>-</x:v>
      </x:c>
      <x:c r="D125" s="10" t="str">
        <x:v>Top DEG</x:v>
      </x:c>
      <x:c r="E125" s="10" t="str">
        <x:v>Other strong DEG</x:v>
      </x:c>
      <x:c r="F125" s="10" t="str">
        <x:v>DEG</x:v>
      </x:c>
      <x:c r="G125" s="10" t="str">
        <x:v>33, 50, 83</x:v>
      </x:c>
      <x:c r="H125" s="10" t="str">
        <x:v>Higher in infected</x:v>
      </x:c>
      <x:c r="I125" s="10" t="n">
        <x:v>3.21501379567113e-14</x:v>
      </x:c>
      <x:c r="J125" s="10" t="n">
        <x:v>2.67083119883112</x:v>
      </x:c>
    </x:row>
    <x:row r="126">
      <x:c r="A126" s="10" t="str">
        <x:v>LOC126284629</x:v>
      </x:c>
      <x:c r="B126" s="10" t="str">
        <x:v>Single domain von Willebrand factor type C</x:v>
      </x:c>
      <x:c r="C126" s="10" t="str">
        <x:v>-</x:v>
      </x:c>
      <x:c r="D126" s="10" t="str">
        <x:v>Top DEG</x:v>
      </x:c>
      <x:c r="E126" s="10" t="str">
        <x:v>Other strong DEG</x:v>
      </x:c>
      <x:c r="F126" s="10" t="str">
        <x:v>DEG</x:v>
      </x:c>
      <x:c r="G126" s="10" t="str">
        <x:v>33, 50, 83</x:v>
      </x:c>
      <x:c r="H126" s="10" t="str">
        <x:v>Higher in control</x:v>
      </x:c>
      <x:c r="I126" s="10" t="n">
        <x:v>0.0000287815418668399</x:v>
      </x:c>
      <x:c r="J126" s="10" t="n">
        <x:v>2.52230243034471</x:v>
      </x:c>
    </x:row>
    <x:row r="127">
      <x:c r="A127" s="10" t="str">
        <x:v>LOC126284752</x:v>
      </x:c>
      <x:c r="B127" s="10" t="str"/>
      <x:c r="C127" s="10" t="str"/>
      <x:c r="D127" s="10" t="str">
        <x:v>Top DEG</x:v>
      </x:c>
      <x:c r="E127" s="10" t="str">
        <x:v>Other strong DEG</x:v>
      </x:c>
      <x:c r="F127" s="10" t="str">
        <x:v>DEG</x:v>
      </x:c>
      <x:c r="G127" s="10" t="str">
        <x:v>33, 50, 83</x:v>
      </x:c>
      <x:c r="H127" s="10" t="str">
        <x:v>Higher in control</x:v>
      </x:c>
      <x:c r="I127" s="10" t="n">
        <x:v>4.21123488732693e-7</x:v>
      </x:c>
      <x:c r="J127" s="10" t="n">
        <x:v>3.55914762003473</x:v>
      </x:c>
    </x:row>
    <x:row r="128">
      <x:c r="A128" s="10" t="str">
        <x:v>LOC126291886</x:v>
      </x:c>
      <x:c r="B128" s="10" t="str"/>
      <x:c r="C128" s="10" t="str"/>
      <x:c r="D128" s="10" t="str">
        <x:v>Top DEG</x:v>
      </x:c>
      <x:c r="E128" s="10" t="str">
        <x:v>Other strong DEG</x:v>
      </x:c>
      <x:c r="F128" s="10" t="str">
        <x:v>DEG</x:v>
      </x:c>
      <x:c r="G128" s="10" t="str">
        <x:v>33, 50, 83</x:v>
      </x:c>
      <x:c r="H128" s="10" t="str">
        <x:v>Higher in infected</x:v>
      </x:c>
      <x:c r="I128" s="10" t="n">
        <x:v>1.6716653977089e-9</x:v>
      </x:c>
      <x:c r="J128" s="10" t="n">
        <x:v>4.6709472229667</x:v>
      </x:c>
    </x:row>
    <x:row r="129">
      <x:c r="A129" s="10" t="str">
        <x:v>LOC126293286</x:v>
      </x:c>
      <x:c r="B129" s="10" t="str">
        <x:v>Fibrillar collagens C-terminal domain</x:v>
      </x:c>
      <x:c r="C129" s="10" t="str">
        <x:v>-</x:v>
      </x:c>
      <x:c r="D129" s="10" t="str">
        <x:v>Top DEG</x:v>
      </x:c>
      <x:c r="E129" s="10" t="str">
        <x:v>Other strong DEG</x:v>
      </x:c>
      <x:c r="F129" s="10" t="str">
        <x:v>DEG</x:v>
      </x:c>
      <x:c r="G129" s="10" t="str">
        <x:v>33, 50</x:v>
      </x:c>
      <x:c r="H129" s="10" t="str">
        <x:v>Higher in control</x:v>
      </x:c>
      <x:c r="I129" s="10" t="n">
        <x:v>4.5027363604183e-7</x:v>
      </x:c>
      <x:c r="J129" s="10" t="n">
        <x:v>2.41728631525024</x:v>
      </x:c>
    </x:row>
    <x:row r="130">
      <x:c r="A130" s="10" t="str">
        <x:v>LOC126294950</x:v>
      </x:c>
      <x:c r="B130" s="10" t="str"/>
      <x:c r="C130" s="10" t="str"/>
      <x:c r="D130" s="10" t="str">
        <x:v>Top DEG</x:v>
      </x:c>
      <x:c r="E130" s="10" t="str">
        <x:v>Other strong DEG</x:v>
      </x:c>
      <x:c r="F130" s="10" t="str">
        <x:v>DEG</x:v>
      </x:c>
      <x:c r="G130" s="10" t="str">
        <x:v>33, 50, 83</x:v>
      </x:c>
      <x:c r="H130" s="10" t="str">
        <x:v>Higher in infected</x:v>
      </x:c>
      <x:c r="I130" s="10" t="n">
        <x:v>2.8006424032375297e-13</x:v>
      </x:c>
      <x:c r="J130" s="10" t="n">
        <x:v>5.4646931005327</x:v>
      </x:c>
    </x:row>
    <x:row r="131">
      <x:c r="A131" s="10" t="str">
        <x:v>LOC126299171</x:v>
      </x:c>
      <x:c r="B131" s="10" t="str">
        <x:v>It is involved in the biological process described with protein phosphorylation</x:v>
      </x:c>
      <x:c r="C131" s="10" t="str">
        <x:v>-</x:v>
      </x:c>
      <x:c r="D131" s="10" t="str">
        <x:v>Top DEG</x:v>
      </x:c>
      <x:c r="E131" s="10" t="str">
        <x:v>Other strong DEG</x:v>
      </x:c>
      <x:c r="F131" s="10" t="str">
        <x:v>DEG</x:v>
      </x:c>
      <x:c r="G131" s="10" t="str">
        <x:v>33, 50, 83</x:v>
      </x:c>
      <x:c r="H131" s="10" t="str">
        <x:v>Higher in control</x:v>
      </x:c>
      <x:c r="I131" s="10" t="n">
        <x:v>3.98353572510287e-8</x:v>
      </x:c>
      <x:c r="J131" s="10" t="n">
        <x:v>2.82006320633489</x:v>
      </x:c>
    </x:row>
    <x:row r="132">
      <x:c r="A132" s="10" t="str">
        <x:v>LOC126322655</x:v>
      </x:c>
      <x:c r="B132" s="10" t="str">
        <x:v>Belongs to the inositol phosphokinase (IPK) family</x:v>
      </x:c>
      <x:c r="C132" s="10" t="str">
        <x:v>Ipk2</x:v>
      </x:c>
      <x:c r="D132" s="10" t="str">
        <x:v>Top DEG</x:v>
      </x:c>
      <x:c r="E132" s="10" t="str">
        <x:v>Other strong DEG</x:v>
      </x:c>
      <x:c r="F132" s="10" t="str">
        <x:v>DEG</x:v>
      </x:c>
      <x:c r="G132" s="10" t="str">
        <x:v>33</x:v>
      </x:c>
      <x:c r="H132" s="10" t="str">
        <x:v>Higher in control</x:v>
      </x:c>
      <x:c r="I132" s="10" t="n">
        <x:v>0.00000360523359491585</x:v>
      </x:c>
      <x:c r="J132" s="10" t="n">
        <x:v>1.06465285403951</x:v>
      </x:c>
    </x:row>
    <x:row r="133">
      <x:c r="A133" s="10" t="str">
        <x:v>LOC126324735</x:v>
      </x:c>
      <x:c r="B133" s="10" t="str">
        <x:v>Tubulin is the major constituent of microtubules. It binds two moles of GTP, one at an exchangeable site on the beta chain and one at a non-exchangeable site on the alpha chain</x:v>
      </x:c>
      <x:c r="C133" s="10" t="str">
        <x:v>-</x:v>
      </x:c>
      <x:c r="D133" s="10" t="str">
        <x:v>Top DEG</x:v>
      </x:c>
      <x:c r="E133" s="10" t="str">
        <x:v>Other strong DEG</x:v>
      </x:c>
      <x:c r="F133" s="10" t="str">
        <x:v>DEG</x:v>
      </x:c>
      <x:c r="G133" s="10" t="str">
        <x:v>50</x:v>
      </x:c>
      <x:c r="H133" s="10" t="str">
        <x:v>Higher in control</x:v>
      </x:c>
      <x:c r="I133" s="10" t="n">
        <x:v>6.933059307853961e-9</x:v>
      </x:c>
      <x:c r="J133" s="10" t="n">
        <x:v>1.22033165662053</x:v>
      </x:c>
    </x:row>
    <x:row r="134">
      <x:c r="A134" s="10" t="str">
        <x:v>LOC126325205</x:v>
      </x:c>
      <x:c r="B134" s="10" t="str">
        <x:v>TIR domain</x:v>
      </x:c>
      <x:c r="C134" s="10" t="str">
        <x:v>-</x:v>
      </x:c>
      <x:c r="D134" s="10" t="str">
        <x:v>Top DEG</x:v>
      </x:c>
      <x:c r="E134" s="10" t="str">
        <x:v>Other strong DEG</x:v>
      </x:c>
      <x:c r="F134" s="10" t="str">
        <x:v>DEG</x:v>
      </x:c>
      <x:c r="G134" s="10" t="str">
        <x:v>33, 50, 83</x:v>
      </x:c>
      <x:c r="H134" s="10" t="str">
        <x:v>Higher in infected</x:v>
      </x:c>
      <x:c r="I134" s="10" t="n">
        <x:v>1.88289809541986e-13</x:v>
      </x:c>
      <x:c r="J134" s="10" t="n">
        <x:v>2.65123155444473</x:v>
      </x:c>
    </x:row>
    <x:row r="135">
      <x:c r="A135" s="10" t="str">
        <x:v>LOC126325232</x:v>
      </x:c>
      <x:c r="B135" s="10" t="str">
        <x:v>MTH538 TIR-like domain (DUF1863)</x:v>
      </x:c>
      <x:c r="C135" s="10" t="str">
        <x:v>-</x:v>
      </x:c>
      <x:c r="D135" s="10" t="str">
        <x:v>Top DEG</x:v>
      </x:c>
      <x:c r="E135" s="10" t="str">
        <x:v>Other strong DEG</x:v>
      </x:c>
      <x:c r="F135" s="10" t="str">
        <x:v>DEG</x:v>
      </x:c>
      <x:c r="G135" s="10" t="str">
        <x:v>33, 50, 83</x:v>
      </x:c>
      <x:c r="H135" s="10" t="str">
        <x:v>Higher in infected</x:v>
      </x:c>
      <x:c r="I135" s="10" t="n">
        <x:v>4.27377177180183e-14</x:v>
      </x:c>
      <x:c r="J135" s="10" t="n">
        <x:v>4.63343594766215</x:v>
      </x:c>
    </x:row>
    <x:row r="136">
      <x:c r="A136" s="10" t="str">
        <x:v>LOC126328249</x:v>
      </x:c>
      <x:c r="B136" s="10" t="str">
        <x:v>Haloacid dehalogenase-like hydrolase</x:v>
      </x:c>
      <x:c r="C136" s="10" t="str">
        <x:v>-</x:v>
      </x:c>
      <x:c r="D136" s="10" t="str">
        <x:v>Top DEG</x:v>
      </x:c>
      <x:c r="E136" s="10" t="str">
        <x:v>Other strong DEG</x:v>
      </x:c>
      <x:c r="F136" s="10" t="str">
        <x:v>DEG</x:v>
      </x:c>
      <x:c r="G136" s="10" t="str">
        <x:v>50, 83</x:v>
      </x:c>
      <x:c r="H136" s="10" t="str">
        <x:v>Higher in control</x:v>
      </x:c>
      <x:c r="I136" s="10" t="n">
        <x:v>0.0000398809406322189</x:v>
      </x:c>
      <x:c r="J136" s="10" t="n">
        <x:v>1.82139260185666</x:v>
      </x:c>
    </x:row>
    <x:row r="137">
      <x:c r="A137" s="10" t="str">
        <x:v>LOC126332318</x:v>
      </x:c>
      <x:c r="B137" s="10" t="str"/>
      <x:c r="C137" s="10" t="str"/>
      <x:c r="D137" s="10" t="str">
        <x:v>Top DEG</x:v>
      </x:c>
      <x:c r="E137" s="10" t="str">
        <x:v>Other strong DEG</x:v>
      </x:c>
      <x:c r="F137" s="10" t="str">
        <x:v>DEG</x:v>
      </x:c>
      <x:c r="G137" s="10" t="str">
        <x:v>33, 50, 83</x:v>
      </x:c>
      <x:c r="H137" s="10" t="str">
        <x:v>Higher in infected</x:v>
      </x:c>
      <x:c r="I137" s="10" t="n">
        <x:v>2.71864634106823e-14</x:v>
      </x:c>
      <x:c r="J137" s="10" t="n">
        <x:v>8.15641043117071</x:v>
      </x:c>
    </x:row>
    <x:row r="138">
      <x:c r="A138" s="10" t="str">
        <x:v>LOC126335348</x:v>
      </x:c>
      <x:c r="B138" s="10" t="str">
        <x:v>-</x:v>
      </x:c>
      <x:c r="C138" s="10" t="str">
        <x:v>-</x:v>
      </x:c>
      <x:c r="D138" s="10" t="str">
        <x:v>Top DEG</x:v>
      </x:c>
      <x:c r="E138" s="10" t="str">
        <x:v>Other strong DEG</x:v>
      </x:c>
      <x:c r="F138" s="10" t="str">
        <x:v>DEG</x:v>
      </x:c>
      <x:c r="G138" s="10" t="str">
        <x:v>33, 50, 83</x:v>
      </x:c>
      <x:c r="H138" s="10" t="str">
        <x:v>Higher in infected</x:v>
      </x:c>
      <x:c r="I138" s="10" t="n">
        <x:v>2.28750971843881e-13</x:v>
      </x:c>
      <x:c r="J138" s="10" t="n">
        <x:v>2.43631922517528</x:v>
      </x:c>
    </x:row>
    <x:row r="139">
      <x:c r="A139" s="10" t="str">
        <x:v>LOC126335966</x:v>
      </x:c>
      <x:c r="B139" s="10" t="str">
        <x:v>Belongs to the glycosyltransferase 43 family</x:v>
      </x:c>
      <x:c r="C139" s="10" t="str">
        <x:v>GlcAT-P</x:v>
      </x:c>
      <x:c r="D139" s="10" t="str">
        <x:v>Top DEG</x:v>
      </x:c>
      <x:c r="E139" s="10" t="str">
        <x:v>Other strong DEG</x:v>
      </x:c>
      <x:c r="F139" s="10" t="str">
        <x:v>DEG</x:v>
      </x:c>
      <x:c r="G139" s="10" t="str">
        <x:v>33, 50, 83</x:v>
      </x:c>
      <x:c r="H139" s="10" t="str">
        <x:v>Higher in infected</x:v>
      </x:c>
      <x:c r="I139" s="10" t="n">
        <x:v>2.88901512619256e-19</x:v>
      </x:c>
      <x:c r="J139" s="10" t="n">
        <x:v>5.33068201862607</x:v>
      </x:c>
    </x:row>
    <x:row r="140">
      <x:c r="A140" s="10" t="str">
        <x:v>LOC126336244</x:v>
      </x:c>
      <x:c r="B140" s="10" t="str">
        <x:v>Thiolase, N-terminal domain</x:v>
      </x:c>
      <x:c r="C140" s="10" t="str">
        <x:v>-</x:v>
      </x:c>
      <x:c r="D140" s="10" t="str">
        <x:v>Top DEG</x:v>
      </x:c>
      <x:c r="E140" s="10" t="str">
        <x:v>Other strong DEG</x:v>
      </x:c>
      <x:c r="F140" s="10" t="str">
        <x:v>DEG</x:v>
      </x:c>
      <x:c r="G140" s="10" t="str">
        <x:v>50, 83</x:v>
      </x:c>
      <x:c r="H140" s="10" t="str">
        <x:v>Higher in control</x:v>
      </x:c>
      <x:c r="I140" s="10" t="n">
        <x:v>2.71824550135756e-8</x:v>
      </x:c>
      <x:c r="J140" s="10" t="n">
        <x:v>1.3226271925845</x:v>
      </x:c>
    </x:row>
    <x:row r="141">
      <x:c r="A141" s="10" t="str">
        <x:v>LOC126336294</x:v>
      </x:c>
      <x:c r="B141" s="10" t="str"/>
      <x:c r="C141" s="10" t="str"/>
      <x:c r="D141" s="10" t="str">
        <x:v>Top DEG</x:v>
      </x:c>
      <x:c r="E141" s="10" t="str">
        <x:v>Other strong DEG</x:v>
      </x:c>
      <x:c r="F141" s="10" t="str">
        <x:v>DEG</x:v>
      </x:c>
      <x:c r="G141" s="10" t="str">
        <x:v>83</x:v>
      </x:c>
      <x:c r="H141" s="10" t="str">
        <x:v>Higher in control</x:v>
      </x:c>
      <x:c r="I141" s="10" t="n">
        <x:v>0.0000324662210354604</x:v>
      </x:c>
      <x:c r="J141" s="10" t="n">
        <x:v>1.53560132444713</x:v>
      </x:c>
    </x:row>
    <x:row r="142">
      <x:c r="A142" s="10" t="str">
        <x:v>LOC126336399</x:v>
      </x:c>
      <x:c r="B142" s="10" t="str">
        <x:v>FAR-17a/AIG1-like protein</x:v>
      </x:c>
      <x:c r="C142" s="10" t="str">
        <x:v>-</x:v>
      </x:c>
      <x:c r="D142" s="10" t="str">
        <x:v>Top DEG</x:v>
      </x:c>
      <x:c r="E142" s="10" t="str">
        <x:v>Other strong DEG</x:v>
      </x:c>
      <x:c r="F142" s="10" t="str">
        <x:v>DEG</x:v>
      </x:c>
      <x:c r="G142" s="10" t="str">
        <x:v>33, 50, 83</x:v>
      </x:c>
      <x:c r="H142" s="10" t="str">
        <x:v>Higher in control</x:v>
      </x:c>
      <x:c r="I142" s="10" t="n">
        <x:v>6.933059307853961e-9</x:v>
      </x:c>
      <x:c r="J142" s="10" t="n">
        <x:v>3.40445153406719</x:v>
      </x:c>
    </x:row>
    <x:row r="143">
      <x:c r="A143" s="10" t="str">
        <x:v>LOC126336533</x:v>
      </x:c>
      <x:c r="B143" s="10" t="str"/>
      <x:c r="C143" s="10" t="str"/>
      <x:c r="D143" s="10" t="str">
        <x:v>Top DEG</x:v>
      </x:c>
      <x:c r="E143" s="10" t="str">
        <x:v>Other strong DEG</x:v>
      </x:c>
      <x:c r="F143" s="10" t="str">
        <x:v>DEG</x:v>
      </x:c>
      <x:c r="G143" s="10" t="str">
        <x:v>33, 50, 83</x:v>
      </x:c>
      <x:c r="H143" s="10" t="str">
        <x:v>Higher in control</x:v>
      </x:c>
      <x:c r="I143" s="10" t="n">
        <x:v>0.00000392318054758549</x:v>
      </x:c>
      <x:c r="J143" s="10" t="n">
        <x:v>3.99054632784536</x:v>
      </x:c>
    </x:row>
    <x:row r="144">
      <x:c r="A144" s="10" t="str">
        <x:v>LOC126336534</x:v>
      </x:c>
      <x:c r="B144" s="10" t="str"/>
      <x:c r="C144" s="10" t="str"/>
      <x:c r="D144" s="10" t="str">
        <x:v>Top DEG</x:v>
      </x:c>
      <x:c r="E144" s="10" t="str">
        <x:v>Other strong DEG</x:v>
      </x:c>
      <x:c r="F144" s="10" t="str">
        <x:v>DEG</x:v>
      </x:c>
      <x:c r="G144" s="10" t="str">
        <x:v>33, 50, 83</x:v>
      </x:c>
      <x:c r="H144" s="10" t="str">
        <x:v>Higher in control</x:v>
      </x:c>
      <x:c r="I144" s="10" t="n">
        <x:v>1.25434042948265e-7</x:v>
      </x:c>
      <x:c r="J144" s="10" t="n">
        <x:v>5.27695058338783</x:v>
      </x:c>
    </x:row>
    <x:row r="145">
      <x:c r="A145" s="10" t="str">
        <x:v>LOC126336538</x:v>
      </x:c>
      <x:c r="B145" s="10" t="str"/>
      <x:c r="C145" s="10" t="str"/>
      <x:c r="D145" s="10" t="str">
        <x:v>Top DEG</x:v>
      </x:c>
      <x:c r="E145" s="10" t="str">
        <x:v>Other strong DEG</x:v>
      </x:c>
      <x:c r="F145" s="10" t="str">
        <x:v>DEG</x:v>
      </x:c>
      <x:c r="G145" s="10" t="str">
        <x:v>33, 50, 83</x:v>
      </x:c>
      <x:c r="H145" s="10" t="str">
        <x:v>Higher in control</x:v>
      </x:c>
      <x:c r="I145" s="10" t="n">
        <x:v>9.68494548582797e-7</x:v>
      </x:c>
      <x:c r="J145" s="10" t="n">
        <x:v>4.31246829668599</x:v>
      </x:c>
    </x:row>
    <x:row r="146">
      <x:c r="A146" s="10" t="str">
        <x:v>LOC126336554</x:v>
      </x:c>
      <x:c r="B146" s="10" t="str"/>
      <x:c r="C146" s="10" t="str"/>
      <x:c r="D146" s="10" t="str">
        <x:v>Top DEG</x:v>
      </x:c>
      <x:c r="E146" s="10" t="str">
        <x:v>Other strong DEG</x:v>
      </x:c>
      <x:c r="F146" s="10" t="str">
        <x:v>DEG</x:v>
      </x:c>
      <x:c r="G146" s="10" t="str">
        <x:v>33, 50, 83</x:v>
      </x:c>
      <x:c r="H146" s="10" t="str">
        <x:v>Higher in infected</x:v>
      </x:c>
      <x:c r="I146" s="10" t="n">
        <x:v>2.43527404544777e-13</x:v>
      </x:c>
      <x:c r="J146" s="10" t="n">
        <x:v>6.30530029805404</x:v>
      </x:c>
    </x:row>
    <x:row r="147">
      <x:c r="A147" s="10" t="str">
        <x:v>LOC126336597</x:v>
      </x:c>
      <x:c r="B147" s="10" t="str">
        <x:v>Insect cuticle protein</x:v>
      </x:c>
      <x:c r="C147" s="10" t="str">
        <x:v>-</x:v>
      </x:c>
      <x:c r="D147" s="10" t="str">
        <x:v>Top DEG</x:v>
      </x:c>
      <x:c r="E147" s="10" t="str">
        <x:v>Other strong DEG</x:v>
      </x:c>
      <x:c r="F147" s="10" t="str">
        <x:v>DEG</x:v>
      </x:c>
      <x:c r="G147" s="10" t="str">
        <x:v>33, 50, 83</x:v>
      </x:c>
      <x:c r="H147" s="10" t="str">
        <x:v>Higher in control</x:v>
      </x:c>
      <x:c r="I147" s="10" t="n">
        <x:v>0.0000106147280867476</x:v>
      </x:c>
      <x:c r="J147" s="10" t="n">
        <x:v>3.57052220859469</x:v>
      </x:c>
    </x:row>
    <x:row r="148">
      <x:c r="A148" s="10" t="str">
        <x:v>LOC126336866</x:v>
      </x:c>
      <x:c r="B148" s="10" t="str">
        <x:v>Malic enzyme, NAD binding domain</x:v>
      </x:c>
      <x:c r="C148" s="10" t="str">
        <x:v>Men</x:v>
      </x:c>
      <x:c r="D148" s="10" t="str">
        <x:v>Top DEG</x:v>
      </x:c>
      <x:c r="E148" s="10" t="str">
        <x:v>Other strong DEG</x:v>
      </x:c>
      <x:c r="F148" s="10" t="str">
        <x:v>DEG</x:v>
      </x:c>
      <x:c r="G148" s="10" t="str">
        <x:v>33, 50</x:v>
      </x:c>
      <x:c r="H148" s="10" t="str">
        <x:v>Higher in control</x:v>
      </x:c>
      <x:c r="I148" s="10" t="n">
        <x:v>7.35128747830974e-7</x:v>
      </x:c>
      <x:c r="J148" s="10" t="n">
        <x:v>3.07808629181918</x:v>
      </x:c>
    </x:row>
    <x:row r="149">
      <x:c r="A149" s="10" t="str">
        <x:v>LOC126337056</x:v>
      </x:c>
      <x:c r="B149" s="10" t="str">
        <x:v>Juvenile hormone binding protein domains in insects.</x:v>
      </x:c>
      <x:c r="C149" s="10" t="str">
        <x:v>-</x:v>
      </x:c>
      <x:c r="D149" s="10" t="str">
        <x:v>Top DEG</x:v>
      </x:c>
      <x:c r="E149" s="10" t="str">
        <x:v>Other strong DEG</x:v>
      </x:c>
      <x:c r="F149" s="10" t="str">
        <x:v>DEG</x:v>
      </x:c>
      <x:c r="G149" s="10" t="str">
        <x:v>33, 50, 83</x:v>
      </x:c>
      <x:c r="H149" s="10" t="str">
        <x:v>Higher in control</x:v>
      </x:c>
      <x:c r="I149" s="10" t="n">
        <x:v>2.2195021861272101e-10</x:v>
      </x:c>
      <x:c r="J149" s="10" t="n">
        <x:v>3.51757226709867</x:v>
      </x:c>
    </x:row>
    <x:row r="150">
      <x:c r="A150" s="10" t="str">
        <x:v>LOC126344004</x:v>
      </x:c>
      <x:c r="B150" s="10" t="str"/>
      <x:c r="C150" s="10" t="str"/>
      <x:c r="D150" s="10" t="str">
        <x:v>Top DEG</x:v>
      </x:c>
      <x:c r="E150" s="10" t="str">
        <x:v>Other strong DEG</x:v>
      </x:c>
      <x:c r="F150" s="10" t="str">
        <x:v>DEG</x:v>
      </x:c>
      <x:c r="G150" s="10" t="str">
        <x:v>33, 50, 83</x:v>
      </x:c>
      <x:c r="H150" s="10" t="str">
        <x:v>Higher in control</x:v>
      </x:c>
      <x:c r="I150" s="10" t="n">
        <x:v>8.3328727946359e-8</x:v>
      </x:c>
      <x:c r="J150" s="10" t="n">
        <x:v>2.91906931577354</x:v>
      </x:c>
    </x:row>
    <x:row r="151">
      <x:c r="A151" s="10" t="str">
        <x:v>LOC126354017</x:v>
      </x:c>
      <x:c r="B151" s="10" t="str">
        <x:v>It is involved in the biological process described with transmembrane transport</x:v>
      </x:c>
      <x:c r="C151" s="10" t="str">
        <x:v>-</x:v>
      </x:c>
      <x:c r="D151" s="10" t="str">
        <x:v>Top DEG</x:v>
      </x:c>
      <x:c r="E151" s="10" t="str">
        <x:v>Other strong DEG</x:v>
      </x:c>
      <x:c r="F151" s="10" t="str">
        <x:v>DEG</x:v>
      </x:c>
      <x:c r="G151" s="10" t="str">
        <x:v>33, 50, 83</x:v>
      </x:c>
      <x:c r="H151" s="10" t="str">
        <x:v>Higher in infected</x:v>
      </x:c>
      <x:c r="I151" s="10" t="n">
        <x:v>4.32766233312594e-11</x:v>
      </x:c>
      <x:c r="J151" s="10" t="n">
        <x:v>3.8084075349827</x:v>
      </x:c>
    </x:row>
    <x:row r="152">
      <x:c r="A152" s="10" t="str">
        <x:v>LOC126354547</x:v>
      </x:c>
      <x:c r="B152" s="10" t="str"/>
      <x:c r="C152" s="10" t="str"/>
      <x:c r="D152" s="10" t="str">
        <x:v>Top DEG</x:v>
      </x:c>
      <x:c r="E152" s="10" t="str">
        <x:v>Other strong DEG</x:v>
      </x:c>
      <x:c r="F152" s="10" t="str">
        <x:v>DEG</x:v>
      </x:c>
      <x:c r="G152" s="10" t="str">
        <x:v>33, 50, 83</x:v>
      </x:c>
      <x:c r="H152" s="10" t="str">
        <x:v>Higher in control</x:v>
      </x:c>
      <x:c r="I152" s="10" t="n">
        <x:v>3.19445100888938e-9</x:v>
      </x:c>
      <x:c r="J152" s="10" t="n">
        <x:v>4.44606818968012</x:v>
      </x:c>
    </x:row>
    <x:row r="153">
      <x:c r="A153" s="10" t="str">
        <x:v>LOC126354923</x:v>
      </x:c>
      <x:c r="B153" s="10" t="str"/>
      <x:c r="C153" s="10" t="str"/>
      <x:c r="D153" s="10" t="str">
        <x:v>Top DEG</x:v>
      </x:c>
      <x:c r="E153" s="10" t="str">
        <x:v>Other strong DEG</x:v>
      </x:c>
      <x:c r="F153" s="10" t="str">
        <x:v>DEG</x:v>
      </x:c>
      <x:c r="G153" s="10" t="str">
        <x:v>33, 50, 83</x:v>
      </x:c>
      <x:c r="H153" s="10" t="str">
        <x:v>Higher in control</x:v>
      </x:c>
      <x:c r="I153" s="10" t="n">
        <x:v>0.00000125852067643058</x:v>
      </x:c>
      <x:c r="J153" s="10" t="n">
        <x:v>4.32362720064225</x:v>
      </x:c>
    </x:row>
    <x:row r="154">
      <x:c r="A154" s="10" t="str">
        <x:v>LOC126355885</x:v>
      </x:c>
      <x:c r="B154" s="10" t="str">
        <x:v>Pyridoxamine 5'-phosphate oxidase</x:v>
      </x:c>
      <x:c r="C154" s="10" t="str">
        <x:v>-</x:v>
      </x:c>
      <x:c r="D154" s="10" t="str">
        <x:v>Top DEG</x:v>
      </x:c>
      <x:c r="E154" s="10" t="str">
        <x:v>Other strong DEG</x:v>
      </x:c>
      <x:c r="F154" s="10" t="str">
        <x:v>DEG</x:v>
      </x:c>
      <x:c r="G154" s="10" t="str">
        <x:v>33, 50</x:v>
      </x:c>
      <x:c r="H154" s="10" t="str">
        <x:v>Higher in control</x:v>
      </x:c>
      <x:c r="I154" s="10" t="n">
        <x:v>9.68494548582797e-7</x:v>
      </x:c>
      <x:c r="J154" s="10" t="n">
        <x:v>2.37337167217955</x:v>
      </x:c>
    </x:row>
    <x:row r="155">
      <x:c r="A155" s="10" t="str">
        <x:v>LOC126356362</x:v>
      </x:c>
      <x:c r="B155" s="10" t="str">
        <x:v>-</x:v>
      </x:c>
      <x:c r="C155" s="10" t="str">
        <x:v>-</x:v>
      </x:c>
      <x:c r="D155" s="10" t="str">
        <x:v>Top DEG</x:v>
      </x:c>
      <x:c r="E155" s="10" t="str">
        <x:v>Other strong DEG</x:v>
      </x:c>
      <x:c r="F155" s="10" t="str">
        <x:v>DEG</x:v>
      </x:c>
      <x:c r="G155" s="10" t="str">
        <x:v>33, 50, 83</x:v>
      </x:c>
      <x:c r="H155" s="10" t="str">
        <x:v>Higher in control</x:v>
      </x:c>
      <x:c r="I155" s="10" t="n">
        <x:v>1.28658888921688e-7</x:v>
      </x:c>
      <x:c r="J155" s="10" t="n">
        <x:v>4.2316708108931</x:v>
      </x:c>
    </x:row>
    <x:row r="156">
      <x:c r="A156" s="10" t="str">
        <x:v>LOC126358175</x:v>
      </x:c>
      <x:c r="B156" s="10" t="str"/>
      <x:c r="C156" s="10" t="str"/>
      <x:c r="D156" s="10" t="str">
        <x:v>Top DEG</x:v>
      </x:c>
      <x:c r="E156" s="10" t="str">
        <x:v>Other strong DEG</x:v>
      </x:c>
      <x:c r="F156" s="10" t="str">
        <x:v>DEG</x:v>
      </x:c>
      <x:c r="G156" s="10" t="str">
        <x:v>83</x:v>
      </x:c>
      <x:c r="H156" s="10" t="str">
        <x:v>Higher in infected</x:v>
      </x:c>
      <x:c r="I156" s="10" t="n">
        <x:v>4.3397016705766e-10</x:v>
      </x:c>
      <x:c r="J156" s="10" t="n">
        <x:v>5.97118435124037</x:v>
      </x:c>
    </x:row>
    <x:row r="157">
      <x:c r="A157" s="10" t="str">
        <x:v>LOC126365941</x:v>
      </x:c>
      <x:c r="B157" s="10" t="str">
        <x:v>Belongs to the aconitase IPM isomerase family</x:v>
      </x:c>
      <x:c r="C157" s="10" t="str">
        <x:v>-</x:v>
      </x:c>
      <x:c r="D157" s="10" t="str">
        <x:v>Top DEG</x:v>
      </x:c>
      <x:c r="E157" s="10" t="str">
        <x:v>Other strong DEG</x:v>
      </x:c>
      <x:c r="F157" s="10" t="str">
        <x:v>DEG</x:v>
      </x:c>
      <x:c r="G157" s="10" t="str">
        <x:v>83</x:v>
      </x:c>
      <x:c r="H157" s="10" t="str">
        <x:v>Higher in control</x:v>
      </x:c>
      <x:c r="I157" s="10" t="n">
        <x:v>0.00000269286943938673</x:v>
      </x:c>
      <x:c r="J157" s="10" t="n">
        <x:v>1.3884192024247</x:v>
      </x:c>
    </x:row>
    <x:row r="158">
      <x:c r="A158" s="10" t="str">
        <x:v>LOC126365957</x:v>
      </x:c>
      <x:c r="B158" s="10" t="str">
        <x:v>Belongs to the hexokinase family</x:v>
      </x:c>
      <x:c r="C158" s="10" t="str">
        <x:v>Hex-A</x:v>
      </x:c>
      <x:c r="D158" s="10" t="str">
        <x:v>Top DEG</x:v>
      </x:c>
      <x:c r="E158" s="10" t="str">
        <x:v>Other strong DEG</x:v>
      </x:c>
      <x:c r="F158" s="10" t="str">
        <x:v>DEG</x:v>
      </x:c>
      <x:c r="G158" s="10" t="str">
        <x:v>33, 50, 83</x:v>
      </x:c>
      <x:c r="H158" s="10" t="str">
        <x:v>Higher in infected</x:v>
      </x:c>
      <x:c r="I158" s="10" t="n">
        <x:v>1.13720230066767e-9</x:v>
      </x:c>
      <x:c r="J158" s="10" t="n">
        <x:v>3.85203036916146</x:v>
      </x:c>
    </x:row>
    <x:row r="159">
      <x:c r="A159" s="10" t="str">
        <x:v>LOC126298412</x:v>
      </x:c>
      <x:c r="B159" s="10" t="str">
        <x:v>Lipid transporter activity. It is involved in the biological process described with lipid transport</x:v>
      </x:c>
      <x:c r="C159" s="10" t="str">
        <x:v>-</x:v>
      </x:c>
      <x:c r="D159" s="10" t="str">
        <x:v>Functional candidate</x:v>
      </x:c>
      <x:c r="E159" s="10" t="str">
        <x:v>Storage/lipid transport</x:v>
      </x:c>
      <x:c r="F159" s="10" t="str">
        <x:v>DEG</x:v>
      </x:c>
      <x:c r="G159" s="10" t="str">
        <x:v>50</x:v>
      </x:c>
      <x:c r="H159" s="10" t="str">
        <x:v>Higher in control</x:v>
      </x:c>
      <x:c r="I159" s="10" t="n">
        <x:v>0.0114764359584984</x:v>
      </x:c>
      <x:c r="J159" s="10" t="n">
        <x:v>1.8546292181333</x:v>
      </x:c>
    </x:row>
    <x:row r="160">
      <x:c r="A160" s="10" t="str">
        <x:v>LOC126299332</x:v>
      </x:c>
      <x:c r="B160" s="10" t="str">
        <x:v>Lipid transporter activity. It is involved in the biological process described with lipid transport</x:v>
      </x:c>
      <x:c r="C160" s="10" t="str">
        <x:v>-</x:v>
      </x:c>
      <x:c r="D160" s="10" t="str">
        <x:v>Functional candidate</x:v>
      </x:c>
      <x:c r="E160" s="10" t="str">
        <x:v>Storage/lipid transport</x:v>
      </x:c>
      <x:c r="F160" s="10" t="str">
        <x:v>DEG</x:v>
      </x:c>
      <x:c r="G160" s="10" t="str">
        <x:v>33, 50, 83</x:v>
      </x:c>
      <x:c r="H160" s="10" t="str">
        <x:v>Higher in infected</x:v>
      </x:c>
      <x:c r="I160" s="10" t="n">
        <x:v>5.50275475648553e-8</x:v>
      </x:c>
      <x:c r="J160" s="10" t="n">
        <x:v>1.67997593071539</x:v>
      </x:c>
    </x:row>
    <x:row r="161">
      <x:c r="A161" s="10" t="str">
        <x:v>LOC126299533</x:v>
      </x:c>
      <x:c r="B161" s="10" t="str">
        <x:v>nutrient reservoir activity</x:v>
      </x:c>
      <x:c r="C161" s="10" t="str">
        <x:v>-</x:v>
      </x:c>
      <x:c r="D161" s="10" t="str">
        <x:v>Functional candidate</x:v>
      </x:c>
      <x:c r="E161" s="10" t="str">
        <x:v>Storage/lipid transport</x:v>
      </x:c>
      <x:c r="F161" s="10" t="str">
        <x:v>Not DEG</x:v>
      </x:c>
      <x:c r="G161" s="10" t="str"/>
      <x:c r="H161" s="10" t="str"/>
      <x:c r="I161" s="10" t="str"/>
      <x:c r="J161" s="10" t="n">
        <x:v>0</x:v>
      </x:c>
    </x:row>
    <x:row r="162">
      <x:c r="A162" s="10" t="str">
        <x:v>LOC126299565</x:v>
      </x:c>
      <x:c r="B162" s="10" t="str">
        <x:v>Lipid transporter activity. It is involved in the biological process described with lipid transport</x:v>
      </x:c>
      <x:c r="C162" s="10" t="str">
        <x:v>-</x:v>
      </x:c>
      <x:c r="D162" s="10" t="str">
        <x:v>Functional candidate</x:v>
      </x:c>
      <x:c r="E162" s="10" t="str">
        <x:v>Storage/lipid transport</x:v>
      </x:c>
      <x:c r="F162" s="10" t="str">
        <x:v>Not DEG</x:v>
      </x:c>
      <x:c r="G162" s="10" t="str"/>
      <x:c r="H162" s="10" t="str"/>
      <x:c r="I162" s="10" t="str"/>
      <x:c r="J162" s="10" t="n">
        <x:v>0</x:v>
      </x:c>
    </x:row>
    <x:row r="163">
      <x:c r="A163" s="10" t="str">
        <x:v>LOC126334876</x:v>
      </x:c>
      <x:c r="B163" s="10" t="str">
        <x:v>Hemocyanin, all-alpha domain</x:v>
      </x:c>
      <x:c r="C163" s="10" t="str">
        <x:v>-</x:v>
      </x:c>
      <x:c r="D163" s="10" t="str">
        <x:v>Functional candidate</x:v>
      </x:c>
      <x:c r="E163" s="10" t="str">
        <x:v>Storage/lipid transport</x:v>
      </x:c>
      <x:c r="F163" s="10" t="str">
        <x:v>Not DEG</x:v>
      </x:c>
      <x:c r="G163" s="10" t="str"/>
      <x:c r="H163" s="10" t="str"/>
      <x:c r="I163" s="10" t="str"/>
      <x:c r="J163" s="10" t="n">
        <x:v>0</x:v>
      </x:c>
    </x:row>
    <x:row r="164">
      <x:c r="A164" s="10" t="str">
        <x:v>LOC126335646</x:v>
      </x:c>
      <x:c r="B164" s="10" t="str">
        <x:v>Hemocyanin, copper containing domain</x:v>
      </x:c>
      <x:c r="C164" s="10" t="str">
        <x:v>-</x:v>
      </x:c>
      <x:c r="D164" s="10" t="str">
        <x:v>Functional candidate</x:v>
      </x:c>
      <x:c r="E164" s="10" t="str">
        <x:v>Storage/lipid transport</x:v>
      </x:c>
      <x:c r="F164" s="10" t="str">
        <x:v>Not DEG</x:v>
      </x:c>
      <x:c r="G164" s="10" t="str"/>
      <x:c r="H164" s="10" t="str"/>
      <x:c r="I164" s="10" t="str"/>
      <x:c r="J164" s="10" t="n">
        <x:v>0</x:v>
      </x:c>
    </x:row>
    <x:row r="165">
      <x:c r="A165" s="10" t="str">
        <x:v>LOC126335724</x:v>
      </x:c>
      <x:c r="B165" s="10" t="str">
        <x:v>Hemocyanin, all-alpha domain</x:v>
      </x:c>
      <x:c r="C165" s="10" t="str">
        <x:v>-</x:v>
      </x:c>
      <x:c r="D165" s="10" t="str">
        <x:v>Functional candidate</x:v>
      </x:c>
      <x:c r="E165" s="10" t="str">
        <x:v>Storage/lipid transport</x:v>
      </x:c>
      <x:c r="F165" s="10" t="str">
        <x:v>DEG</x:v>
      </x:c>
      <x:c r="G165" s="10" t="str">
        <x:v>50</x:v>
      </x:c>
      <x:c r="H165" s="10" t="str">
        <x:v>Higher in control</x:v>
      </x:c>
      <x:c r="I165" s="10" t="n">
        <x:v>0.0205125693427401</x:v>
      </x:c>
      <x:c r="J165" s="10" t="n">
        <x:v>2.84108970747156</x:v>
      </x:c>
    </x:row>
    <x:row r="166">
      <x:c r="A166" s="10" t="str">
        <x:v>LOC126336408</x:v>
      </x:c>
      <x:c r="B166" s="10" t="str">
        <x:v>Hemocyanin, all-alpha domain</x:v>
      </x:c>
      <x:c r="C166" s="10" t="str">
        <x:v>-</x:v>
      </x:c>
      <x:c r="D166" s="10" t="str">
        <x:v>Functional candidate</x:v>
      </x:c>
      <x:c r="E166" s="10" t="str">
        <x:v>Storage/lipid transport</x:v>
      </x:c>
      <x:c r="F166" s="10" t="str">
        <x:v>Not DEG</x:v>
      </x:c>
      <x:c r="G166" s="10" t="str"/>
      <x:c r="H166" s="10" t="str"/>
      <x:c r="I166" s="10" t="str"/>
      <x:c r="J166" s="10" t="n">
        <x:v>0</x:v>
      </x:c>
    </x:row>
    <x:row r="167">
      <x:c r="A167" s="10" t="str">
        <x:v>LOC126336409</x:v>
      </x:c>
      <x:c r="B167" s="10" t="str">
        <x:v>Hemocyanin, all-alpha domain</x:v>
      </x:c>
      <x:c r="C167" s="10" t="str">
        <x:v>-</x:v>
      </x:c>
      <x:c r="D167" s="10" t="str">
        <x:v>Functional candidate</x:v>
      </x:c>
      <x:c r="E167" s="10" t="str">
        <x:v>Storage/lipid transport</x:v>
      </x:c>
      <x:c r="F167" s="10" t="str">
        <x:v>DEG</x:v>
      </x:c>
      <x:c r="G167" s="10" t="str">
        <x:v>33</x:v>
      </x:c>
      <x:c r="H167" s="10" t="str">
        <x:v>Higher in control</x:v>
      </x:c>
      <x:c r="I167" s="10" t="n">
        <x:v>0.0158138418213588</x:v>
      </x:c>
      <x:c r="J167" s="10" t="n">
        <x:v>2.24945112095086</x:v>
      </x:c>
    </x:row>
    <x:row r="168">
      <x:c r="A168" s="10" t="str">
        <x:v>LOC126336415</x:v>
      </x:c>
      <x:c r="B168" s="10" t="str">
        <x:v>Hemocyanin, all-alpha domain</x:v>
      </x:c>
      <x:c r="C168" s="10" t="str">
        <x:v>-</x:v>
      </x:c>
      <x:c r="D168" s="10" t="str">
        <x:v>Functional candidate</x:v>
      </x:c>
      <x:c r="E168" s="10" t="str">
        <x:v>Storage/lipid transport</x:v>
      </x:c>
      <x:c r="F168" s="10" t="str">
        <x:v>DEG</x:v>
      </x:c>
      <x:c r="G168" s="10" t="str">
        <x:v>50, 83</x:v>
      </x:c>
      <x:c r="H168" s="10" t="str">
        <x:v>Higher in infected</x:v>
      </x:c>
      <x:c r="I168" s="10" t="n">
        <x:v>0.00012394224925</x:v>
      </x:c>
      <x:c r="J168" s="10" t="n">
        <x:v>2.46929706481484</x:v>
      </x:c>
    </x:row>
    <x:row r="169">
      <x:c r="A169" s="10" t="str">
        <x:v>LOC126336416</x:v>
      </x:c>
      <x:c r="B169" s="10" t="str">
        <x:v>Hemocyanin, all-alpha domain</x:v>
      </x:c>
      <x:c r="C169" s="10" t="str">
        <x:v>-</x:v>
      </x:c>
      <x:c r="D169" s="10" t="str">
        <x:v>Functional candidate</x:v>
      </x:c>
      <x:c r="E169" s="10" t="str">
        <x:v>Storage/lipid transport</x:v>
      </x:c>
      <x:c r="F169" s="10" t="str">
        <x:v>DEG</x:v>
      </x:c>
      <x:c r="G169" s="10" t="str">
        <x:v>33, 50, 83</x:v>
      </x:c>
      <x:c r="H169" s="10" t="str">
        <x:v>Higher in infected</x:v>
      </x:c>
      <x:c r="I169" s="10" t="n">
        <x:v>4.17463911699709e-9</x:v>
      </x:c>
      <x:c r="J169" s="10" t="n">
        <x:v>2.37991373590716</x:v>
      </x:c>
    </x:row>
    <x:row r="170">
      <x:c r="A170" s="10" t="str">
        <x:v>LOC126336762</x:v>
      </x:c>
      <x:c r="B170" s="10" t="str">
        <x:v>Microsomal triglyceride transfer protein</x:v>
      </x:c>
      <x:c r="C170" s="10" t="str">
        <x:v>-</x:v>
      </x:c>
      <x:c r="D170" s="10" t="str">
        <x:v>Functional candidate</x:v>
      </x:c>
      <x:c r="E170" s="10" t="str">
        <x:v>Storage/lipid transport</x:v>
      </x:c>
      <x:c r="F170" s="10" t="str">
        <x:v>Not DEG</x:v>
      </x:c>
      <x:c r="G170" s="10" t="str"/>
      <x:c r="H170" s="10" t="str"/>
      <x:c r="I170" s="10" t="str"/>
      <x:c r="J170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7231d627534a94"/>
  </x:tableParts>
</x:worksheet>
</file>